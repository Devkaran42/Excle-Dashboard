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D:\DATA ANALYST\ADV EXCEL\"/>
    </mc:Choice>
  </mc:AlternateContent>
  <xr:revisionPtr revIDLastSave="0" documentId="13_ncr:1_{41A6F0F3-08FE-47B4-ACBD-F5AA81C441AD}" xr6:coauthVersionLast="47" xr6:coauthVersionMax="47" xr10:uidLastSave="{00000000-0000-0000-0000-000000000000}"/>
  <bookViews>
    <workbookView xWindow="11424" yWindow="0" windowWidth="11712" windowHeight="12336" tabRatio="714" firstSheet="7" activeTab="9" xr2:uid="{00000000-000D-0000-FFFF-FFFF00000000}"/>
  </bookViews>
  <sheets>
    <sheet name="FIRM WISE" sheetId="2" state="hidden" r:id="rId1"/>
    <sheet name="MONTH WISE" sheetId="4" state="hidden" r:id="rId2"/>
    <sheet name="TAX WISE" sheetId="5" state="hidden" r:id="rId3"/>
    <sheet name="PRODUCT WISE" sheetId="6" state="hidden" r:id="rId4"/>
    <sheet name="Firm_Wise" sheetId="8" r:id="rId5"/>
    <sheet name="Month_Wise" sheetId="9" r:id="rId6"/>
    <sheet name="Tax_Wise" sheetId="10" r:id="rId7"/>
    <sheet name="Product_Wise" sheetId="11" r:id="rId8"/>
    <sheet name="State_wise" sheetId="12" r:id="rId9"/>
    <sheet name="DASHBOARD" sheetId="13" r:id="rId10"/>
    <sheet name="DATA" sheetId="1" r:id="rId11"/>
    <sheet name="Sheet1" sheetId="7" r:id="rId12"/>
  </sheets>
  <definedNames>
    <definedName name="Slicer_Description_of_Goods">#N/A</definedName>
    <definedName name="Slicer_Firm_Name">#N/A</definedName>
    <definedName name="Slicer_Months__Date">#N/A</definedName>
    <definedName name="Slicer_State">#N/A</definedName>
    <definedName name="Slicer_Tax_Rate">#N/A</definedName>
  </definedNames>
  <calcPr calcId="191029"/>
  <pivotCaches>
    <pivotCache cacheId="0" r:id="rId13"/>
    <pivotCache cacheId="1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<sst xmlns="http://schemas.openxmlformats.org/spreadsheetml/2006/main" count="222" uniqueCount="45">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</sst>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s>
  <fills count="8">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0" fontId="2" fillId="4" borderId="2" xfId="1" applyFont="1" applyFill="1" applyBorder="1" applyAlignment="1">
      <alignment horizontal="center" vertical="center"/>
    </xf>
    <xf numFmtId="14" fontId="2" fillId="4" borderId="2" xfId="1" applyNumberFormat="1" applyFont="1" applyFill="1" applyBorder="1" applyAlignment="1">
      <alignment horizontal="center" vertical="center"/>
    </xf>
    <xf numFmtId="10" fontId="2" fillId="4" borderId="2" xfId="1" applyNumberFormat="1" applyFont="1" applyFill="1" applyBorder="1" applyAlignment="1">
      <alignment horizontal="center" vertical="center"/>
    </xf>
    <xf numFmtId="4" fontId="2" fillId="4" borderId="2" xfId="1" applyNumberFormat="1" applyFont="1" applyFill="1" applyBorder="1" applyAlignment="1">
      <alignment horizontal="center" vertical="center"/>
    </xf>
    <xf numFmtId="4" fontId="2" fillId="4" borderId="2" xfId="0" applyNumberFormat="1" applyFont="1" applyFill="1" applyBorder="1"/>
    <xf numFmtId="4" fontId="2" fillId="4" borderId="2" xfId="1" applyNumberFormat="1" applyFont="1" applyFill="1" applyBorder="1"/>
    <xf numFmtId="0" fontId="2" fillId="2" borderId="2" xfId="1" applyFont="1" applyBorder="1" applyAlignment="1">
      <alignment horizontal="center" vertical="center"/>
    </xf>
    <xf numFmtId="14" fontId="2" fillId="2" borderId="2" xfId="1" applyNumberFormat="1" applyFont="1" applyBorder="1" applyAlignment="1">
      <alignment horizontal="center" vertical="center"/>
    </xf>
    <xf numFmtId="10" fontId="2" fillId="2" borderId="2" xfId="1" applyNumberFormat="1" applyFont="1" applyBorder="1" applyAlignment="1">
      <alignment horizontal="center" vertical="center"/>
    </xf>
    <xf numFmtId="4" fontId="2" fillId="2" borderId="2" xfId="1" applyNumberFormat="1" applyFont="1" applyBorder="1" applyAlignment="1">
      <alignment horizontal="center" vertical="center"/>
    </xf>
    <xf numFmtId="4" fontId="2" fillId="0" borderId="2" xfId="0" applyNumberFormat="1" applyFont="1" applyBorder="1"/>
    <xf numFmtId="4" fontId="2" fillId="2" borderId="2" xfId="1" applyNumberFormat="1" applyFont="1" applyBorder="1"/>
    <xf numFmtId="10" fontId="2" fillId="4" borderId="2" xfId="1" applyNumberFormat="1" applyFont="1" applyFill="1" applyBorder="1" applyAlignment="1">
      <alignment horizontal="center"/>
    </xf>
    <xf numFmtId="0" fontId="2" fillId="4" borderId="2" xfId="1" applyFont="1" applyFill="1" applyBorder="1" applyAlignment="1">
      <alignment horizontal="center"/>
    </xf>
    <xf numFmtId="10" fontId="2" fillId="2" borderId="2" xfId="1" applyNumberFormat="1" applyFont="1" applyBorder="1" applyAlignment="1">
      <alignment horizontal="center"/>
    </xf>
    <xf numFmtId="0" fontId="2" fillId="2" borderId="2" xfId="1" applyFont="1" applyBorder="1" applyAlignment="1">
      <alignment horizontal="center"/>
    </xf>
    <xf numFmtId="0" fontId="2" fillId="4" borderId="3" xfId="1" applyFont="1" applyFill="1" applyBorder="1" applyAlignment="1">
      <alignment horizontal="center" vertical="center"/>
    </xf>
    <xf numFmtId="0" fontId="2" fillId="2" borderId="3" xfId="1" applyFont="1" applyBorder="1" applyAlignment="1">
      <alignment horizontal="center" vertical="center"/>
    </xf>
    <xf numFmtId="9" fontId="4" fillId="3" borderId="0" xfId="0" applyNumberFormat="1" applyFont="1" applyFill="1" applyBorder="1" applyAlignment="1">
      <alignment horizontal="center" vertical="center"/>
    </xf>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4" fontId="0" fillId="0" borderId="0" xfId="0" applyNumberFormat="1"/>
    <xf numFmtId="0" fontId="0" fillId="5" borderId="0" xfId="0" applyFill="1"/>
    <xf numFmtId="0" fontId="0" fillId="6" borderId="0" xfId="0" applyFill="1"/>
    <xf numFmtId="0" fontId="0" fillId="7" borderId="0" xfId="0" applyFill="1"/>
  </cellXfs>
  <cellStyles count="2">
    <cellStyle name="40% - Accent6" xfId="1" builtinId="51"/>
    <cellStyle name="Normal" xfId="0" builtinId="0"/>
  </cellStyles>
  <dxfs count="32">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Practice.xlsx]Firm_Wise!PivotTable1</c:name>
    <c:fmtId val="7"/>
  </c:pivotSource>
  <c:chart>
    <c:title>
      <c:tx>
        <c:rich>
          <a:bodyPr rot="0" spcFirstLastPara="1" vertOverflow="ellipsis" vert="horz" wrap="square" anchor="ctr" anchorCtr="1"/>
          <a:lstStyle/>
          <a:p>
            <a:pPr>
              <a:defRPr sz="1670" b="1" i="0" u="sng" strike="noStrike" kern="1200" baseline="0">
                <a:solidFill>
                  <a:schemeClr val="tx1">
                    <a:lumMod val="65000"/>
                    <a:lumOff val="35000"/>
                  </a:schemeClr>
                </a:solidFill>
                <a:latin typeface="+mn-lt"/>
                <a:ea typeface="+mn-ea"/>
                <a:cs typeface="+mn-cs"/>
              </a:defRPr>
            </a:pPr>
            <a:r>
              <a:rPr lang="en-US" sz="1670" u="sng" baseline="0"/>
              <a:t>Firm_wise</a:t>
            </a:r>
          </a:p>
        </c:rich>
      </c:tx>
      <c:layout>
        <c:manualLayout>
          <c:xMode val="edge"/>
          <c:yMode val="edge"/>
          <c:x val="0.31464646464646462"/>
          <c:y val="4.9652298617312018E-2"/>
        </c:manualLayout>
      </c:layout>
      <c:overlay val="0"/>
      <c:spPr>
        <a:solidFill>
          <a:schemeClr val="bg1"/>
        </a:solidFill>
        <a:ln>
          <a:noFill/>
        </a:ln>
        <a:effectLst/>
      </c:spPr>
      <c:txPr>
        <a:bodyPr rot="0" spcFirstLastPara="1" vertOverflow="ellipsis" vert="horz" wrap="square" anchor="ctr" anchorCtr="1"/>
        <a:lstStyle/>
        <a:p>
          <a:pPr>
            <a:defRPr sz="167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062514912908622"/>
              <c:y val="-0.344688421679248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93939393939394E-2"/>
              <c:y val="-0.40085640068187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062514912908622"/>
              <c:y val="-0.344688421679248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93939393939394E-2"/>
              <c:y val="-0.40085640068187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062514912908622"/>
              <c:y val="-0.344688421679248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93939393939394E-2"/>
              <c:y val="-0.40085640068187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Firm_Wise!$B$3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59-4EF4-B0AA-7F32EF55A18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59-4EF4-B0AA-7F32EF55A181}"/>
              </c:ext>
            </c:extLst>
          </c:dPt>
          <c:dLbls>
            <c:dLbl>
              <c:idx val="0"/>
              <c:layout>
                <c:manualLayout>
                  <c:x val="0.30062514912908622"/>
                  <c:y val="-0.344688421679248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D59-4EF4-B0AA-7F32EF55A181}"/>
                </c:ext>
              </c:extLst>
            </c:dLbl>
            <c:dLbl>
              <c:idx val="1"/>
              <c:layout>
                <c:manualLayout>
                  <c:x val="1.893939393939394E-2"/>
                  <c:y val="-0.40085640068187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59-4EF4-B0AA-7F32EF55A18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8D59-4EF4-B0AA-7F32EF55A181}"/>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Practice.xlsx]Month_Wise!PivotTable2</c:name>
    <c:fmtId val="5"/>
  </c:pivotSource>
  <c:chart>
    <c:title>
      <c:tx>
        <c:rich>
          <a:bodyPr rot="0" spcFirstLastPara="1" vertOverflow="ellipsis" vert="horz" wrap="square" anchor="ctr" anchorCtr="1"/>
          <a:lstStyle/>
          <a:p>
            <a:pPr>
              <a:defRPr sz="1580" b="1" i="0" u="sng" strike="noStrike" kern="1200" spc="0" baseline="0">
                <a:solidFill>
                  <a:schemeClr val="tx1">
                    <a:lumMod val="65000"/>
                    <a:lumOff val="35000"/>
                  </a:schemeClr>
                </a:solidFill>
                <a:latin typeface="+mn-lt"/>
                <a:ea typeface="+mn-ea"/>
                <a:cs typeface="+mn-cs"/>
              </a:defRPr>
            </a:pPr>
            <a:r>
              <a:rPr lang="en-IN" sz="1580" b="1" i="0" u="sng" baseline="0"/>
              <a:t>Month_wise</a:t>
            </a:r>
          </a:p>
        </c:rich>
      </c:tx>
      <c:overlay val="0"/>
      <c:spPr>
        <a:noFill/>
        <a:ln>
          <a:noFill/>
        </a:ln>
        <a:effectLst/>
      </c:spPr>
      <c:txPr>
        <a:bodyPr rot="0" spcFirstLastPara="1" vertOverflow="ellipsis" vert="horz" wrap="square" anchor="ctr" anchorCtr="1"/>
        <a:lstStyle/>
        <a:p>
          <a:pPr>
            <a:defRPr sz="158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338743782346901"/>
          <c:y val="0.29438687392055274"/>
          <c:w val="0.74677454001114307"/>
          <c:h val="0.39299158201079787"/>
        </c:manualLayout>
      </c:layout>
      <c:bar3DChart>
        <c:barDir val="col"/>
        <c:grouping val="stacked"/>
        <c:varyColors val="0"/>
        <c:ser>
          <c:idx val="0"/>
          <c:order val="0"/>
          <c:tx>
            <c:strRef>
              <c:f>Month_Wise!$B$3</c:f>
              <c:strCache>
                <c:ptCount val="1"/>
                <c:pt idx="0">
                  <c:v>Total</c:v>
                </c:pt>
              </c:strCache>
            </c:strRef>
          </c:tx>
          <c:spPr>
            <a:solidFill>
              <a:schemeClr val="accent1"/>
            </a:solidFill>
            <a:ln>
              <a:noFill/>
            </a:ln>
            <a:effectLst/>
            <a:sp3d/>
          </c:spPr>
          <c:invertIfNegative val="0"/>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B502-4DF4-B08D-B588702C7005}"/>
            </c:ext>
          </c:extLst>
        </c:ser>
        <c:dLbls>
          <c:showLegendKey val="0"/>
          <c:showVal val="0"/>
          <c:showCatName val="0"/>
          <c:showSerName val="0"/>
          <c:showPercent val="0"/>
          <c:showBubbleSize val="0"/>
        </c:dLbls>
        <c:gapWidth val="150"/>
        <c:shape val="box"/>
        <c:axId val="1306501423"/>
        <c:axId val="1306499503"/>
        <c:axId val="0"/>
      </c:bar3DChart>
      <c:catAx>
        <c:axId val="130650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499503"/>
        <c:crosses val="autoZero"/>
        <c:auto val="1"/>
        <c:lblAlgn val="ctr"/>
        <c:lblOffset val="100"/>
        <c:noMultiLvlLbl val="0"/>
      </c:catAx>
      <c:valAx>
        <c:axId val="1306499503"/>
        <c:scaling>
          <c:orientation val="minMax"/>
        </c:scaling>
        <c:delete val="1"/>
        <c:axPos val="l"/>
        <c:numFmt formatCode="#,##0.00" sourceLinked="1"/>
        <c:majorTickMark val="none"/>
        <c:minorTickMark val="none"/>
        <c:tickLblPos val="nextTo"/>
        <c:crossAx val="1306501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Practice.xlsx]Tax_Wise!PivotTable3</c:name>
    <c:fmtId val="5"/>
  </c:pivotSource>
  <c:chart>
    <c:title>
      <c:tx>
        <c:rich>
          <a:bodyPr rot="0" spcFirstLastPara="1" vertOverflow="ellipsis" vert="horz" wrap="square" anchor="ctr" anchorCtr="1"/>
          <a:lstStyle/>
          <a:p>
            <a:pPr>
              <a:defRPr sz="1900" b="1" i="0" u="sng" strike="noStrike" kern="1200" spc="0" baseline="0">
                <a:solidFill>
                  <a:schemeClr val="tx1">
                    <a:lumMod val="65000"/>
                    <a:lumOff val="35000"/>
                  </a:schemeClr>
                </a:solidFill>
                <a:latin typeface="+mn-lt"/>
                <a:ea typeface="+mn-ea"/>
                <a:cs typeface="+mn-cs"/>
              </a:defRPr>
            </a:pPr>
            <a:r>
              <a:rPr lang="en-IN" sz="1900" b="1" i="0" u="sng" baseline="0"/>
              <a:t>Tax_wise</a:t>
            </a:r>
          </a:p>
        </c:rich>
      </c:tx>
      <c:layout>
        <c:manualLayout>
          <c:xMode val="edge"/>
          <c:yMode val="edge"/>
          <c:x val="0.4173762955276954"/>
          <c:y val="9.9519563430400179E-3"/>
        </c:manualLayout>
      </c:layout>
      <c:overlay val="0"/>
      <c:spPr>
        <a:noFill/>
        <a:ln>
          <a:noFill/>
        </a:ln>
        <a:effectLst/>
      </c:spPr>
      <c:txPr>
        <a:bodyPr rot="0" spcFirstLastPara="1" vertOverflow="ellipsis" vert="horz" wrap="square" anchor="ctr" anchorCtr="1"/>
        <a:lstStyle/>
        <a:p>
          <a:pPr>
            <a:defRPr sz="19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Tax_Wise!$B$3</c:f>
              <c:strCache>
                <c:ptCount val="1"/>
                <c:pt idx="0">
                  <c:v>Sum of IGST</c:v>
                </c:pt>
              </c:strCache>
            </c:strRef>
          </c:tx>
          <c:spPr>
            <a:solidFill>
              <a:schemeClr val="accent1"/>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DF80-44CD-A1EE-3F7376ED942C}"/>
            </c:ext>
          </c:extLst>
        </c:ser>
        <c:ser>
          <c:idx val="1"/>
          <c:order val="1"/>
          <c:tx>
            <c:strRef>
              <c:f>Tax_Wise!$C$3</c:f>
              <c:strCache>
                <c:ptCount val="1"/>
                <c:pt idx="0">
                  <c:v>Sum of CGST</c:v>
                </c:pt>
              </c:strCache>
            </c:strRef>
          </c:tx>
          <c:spPr>
            <a:solidFill>
              <a:schemeClr val="accent2"/>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DF80-44CD-A1EE-3F7376ED942C}"/>
            </c:ext>
          </c:extLst>
        </c:ser>
        <c:ser>
          <c:idx val="2"/>
          <c:order val="2"/>
          <c:tx>
            <c:strRef>
              <c:f>Tax_Wise!$D$3</c:f>
              <c:strCache>
                <c:ptCount val="1"/>
                <c:pt idx="0">
                  <c:v>Sum of SGST</c:v>
                </c:pt>
              </c:strCache>
            </c:strRef>
          </c:tx>
          <c:spPr>
            <a:solidFill>
              <a:schemeClr val="accent3"/>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DF80-44CD-A1EE-3F7376ED942C}"/>
            </c:ext>
          </c:extLst>
        </c:ser>
        <c:ser>
          <c:idx val="3"/>
          <c:order val="3"/>
          <c:tx>
            <c:strRef>
              <c:f>Tax_Wise!$E$3</c:f>
              <c:strCache>
                <c:ptCount val="1"/>
                <c:pt idx="0">
                  <c:v>Sum of TOTAL</c:v>
                </c:pt>
              </c:strCache>
            </c:strRef>
          </c:tx>
          <c:spPr>
            <a:solidFill>
              <a:schemeClr val="accent4"/>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DF80-44CD-A1EE-3F7376ED942C}"/>
            </c:ext>
          </c:extLst>
        </c:ser>
        <c:dLbls>
          <c:showLegendKey val="0"/>
          <c:showVal val="0"/>
          <c:showCatName val="0"/>
          <c:showSerName val="0"/>
          <c:showPercent val="0"/>
          <c:showBubbleSize val="0"/>
        </c:dLbls>
        <c:gapWidth val="150"/>
        <c:shape val="box"/>
        <c:axId val="1306509583"/>
        <c:axId val="1306521583"/>
        <c:axId val="0"/>
      </c:bar3DChart>
      <c:catAx>
        <c:axId val="1306509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21583"/>
        <c:crosses val="autoZero"/>
        <c:auto val="1"/>
        <c:lblAlgn val="ctr"/>
        <c:lblOffset val="100"/>
        <c:noMultiLvlLbl val="0"/>
      </c:catAx>
      <c:valAx>
        <c:axId val="1306521583"/>
        <c:scaling>
          <c:orientation val="minMax"/>
        </c:scaling>
        <c:delete val="1"/>
        <c:axPos val="l"/>
        <c:numFmt formatCode="#,##0.00" sourceLinked="1"/>
        <c:majorTickMark val="none"/>
        <c:minorTickMark val="none"/>
        <c:tickLblPos val="nextTo"/>
        <c:crossAx val="130650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Practice.xlsx]Product_Wise!PivotTable4</c:name>
    <c:fmtId val="5"/>
  </c:pivotSource>
  <c:chart>
    <c:title>
      <c:tx>
        <c:rich>
          <a:bodyPr rot="0" spcFirstLastPara="1" vertOverflow="ellipsis" vert="horz" wrap="square" anchor="ctr" anchorCtr="1"/>
          <a:lstStyle/>
          <a:p>
            <a:pPr>
              <a:defRPr sz="1540" b="1" i="0" u="sng" strike="noStrike" kern="1200" spc="0" baseline="0">
                <a:solidFill>
                  <a:schemeClr val="tx1">
                    <a:lumMod val="65000"/>
                    <a:lumOff val="35000"/>
                  </a:schemeClr>
                </a:solidFill>
                <a:latin typeface="+mn-lt"/>
                <a:ea typeface="+mn-ea"/>
                <a:cs typeface="+mn-cs"/>
              </a:defRPr>
            </a:pPr>
            <a:r>
              <a:rPr lang="en-IN" sz="1540" b="1" i="0" u="sng" baseline="0"/>
              <a:t>Product_wise</a:t>
            </a:r>
          </a:p>
        </c:rich>
      </c:tx>
      <c:overlay val="0"/>
      <c:spPr>
        <a:noFill/>
        <a:ln>
          <a:noFill/>
        </a:ln>
        <a:effectLst/>
      </c:spPr>
      <c:txPr>
        <a:bodyPr rot="0" spcFirstLastPara="1" vertOverflow="ellipsis" vert="horz" wrap="square" anchor="ctr" anchorCtr="1"/>
        <a:lstStyle/>
        <a:p>
          <a:pPr>
            <a:defRPr sz="154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1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51-49EA-AB6F-1E19A924BE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51-49EA-AB6F-1E19A924BE9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1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4-FF51-49EA-AB6F-1E19A924BE9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Practice.xlsx]State_wise!PivotTable5</c:name>
    <c:fmtId val="3"/>
  </c:pivotSource>
  <c:chart>
    <c:title>
      <c:tx>
        <c:rich>
          <a:bodyPr rot="0" spcFirstLastPara="1" vertOverflow="ellipsis" vert="horz" wrap="square" anchor="ctr" anchorCtr="1"/>
          <a:lstStyle/>
          <a:p>
            <a:pPr>
              <a:defRPr sz="1610" b="1" i="0" u="sng" strike="noStrike" kern="1200" spc="0" baseline="0">
                <a:solidFill>
                  <a:schemeClr val="tx1">
                    <a:lumMod val="65000"/>
                    <a:lumOff val="35000"/>
                  </a:schemeClr>
                </a:solidFill>
                <a:latin typeface="+mn-lt"/>
                <a:ea typeface="+mn-ea"/>
                <a:cs typeface="+mn-cs"/>
              </a:defRPr>
            </a:pPr>
            <a:r>
              <a:rPr lang="en-US" sz="1610" b="1" i="0" u="sng" baseline="0"/>
              <a:t>State_wise</a:t>
            </a:r>
          </a:p>
        </c:rich>
      </c:tx>
      <c:overlay val="0"/>
      <c:spPr>
        <a:noFill/>
        <a:ln>
          <a:noFill/>
        </a:ln>
        <a:effectLst/>
      </c:spPr>
      <c:txPr>
        <a:bodyPr rot="0" spcFirstLastPara="1" vertOverflow="ellipsis" vert="horz" wrap="square" anchor="ctr" anchorCtr="1"/>
        <a:lstStyle/>
        <a:p>
          <a:pPr>
            <a:defRPr sz="161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State_wise!$B$3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State_wise!$A$4:$A$6</c:f>
              <c:strCache>
                <c:ptCount val="2"/>
                <c:pt idx="0">
                  <c:v>INTERSTATE</c:v>
                </c:pt>
                <c:pt idx="1">
                  <c:v>Local</c:v>
                </c:pt>
              </c:strCache>
            </c:strRef>
          </c:cat>
          <c:val>
            <c:numRef>
              <c:f>State_wise!$B$4:$B$6</c:f>
              <c:numCache>
                <c:formatCode>#,##0.00</c:formatCode>
                <c:ptCount val="2"/>
                <c:pt idx="0">
                  <c:v>139553.4</c:v>
                </c:pt>
                <c:pt idx="1">
                  <c:v>730410.46</c:v>
                </c:pt>
              </c:numCache>
            </c:numRef>
          </c:val>
          <c:extLst>
            <c:ext xmlns:c16="http://schemas.microsoft.com/office/drawing/2014/chart" uri="{C3380CC4-5D6E-409C-BE32-E72D297353CC}">
              <c16:uniqueId val="{00000000-562A-4F02-96C9-0B71435EE53A}"/>
            </c:ext>
          </c:extLst>
        </c:ser>
        <c:dLbls>
          <c:showLegendKey val="0"/>
          <c:showVal val="0"/>
          <c:showCatName val="0"/>
          <c:showSerName val="0"/>
          <c:showPercent val="0"/>
          <c:showBubbleSize val="0"/>
        </c:dLbls>
        <c:gapWidth val="150"/>
        <c:shape val="box"/>
        <c:axId val="1306505743"/>
        <c:axId val="1306511503"/>
        <c:axId val="0"/>
      </c:bar3DChart>
      <c:catAx>
        <c:axId val="1306505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11503"/>
        <c:crosses val="autoZero"/>
        <c:auto val="1"/>
        <c:lblAlgn val="ctr"/>
        <c:lblOffset val="100"/>
        <c:noMultiLvlLbl val="0"/>
      </c:catAx>
      <c:valAx>
        <c:axId val="1306511503"/>
        <c:scaling>
          <c:orientation val="minMax"/>
        </c:scaling>
        <c:delete val="1"/>
        <c:axPos val="b"/>
        <c:numFmt formatCode="#,##0.00" sourceLinked="1"/>
        <c:majorTickMark val="none"/>
        <c:minorTickMark val="none"/>
        <c:tickLblPos val="nextTo"/>
        <c:crossAx val="13065057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xdr:colOff>
      <xdr:row>4</xdr:row>
      <xdr:rowOff>177452</xdr:rowOff>
    </xdr:from>
    <xdr:to>
      <xdr:col>6</xdr:col>
      <xdr:colOff>31315</xdr:colOff>
      <xdr:row>13</xdr:row>
      <xdr:rowOff>11722</xdr:rowOff>
    </xdr:to>
    <xdr:graphicFrame macro="">
      <xdr:nvGraphicFramePr>
        <xdr:cNvPr id="2" name="Chart 1">
          <a:extLst>
            <a:ext uri="{FF2B5EF4-FFF2-40B4-BE49-F238E27FC236}">
              <a16:creationId xmlns:a16="http://schemas.microsoft.com/office/drawing/2014/main" id="{02D0926D-D440-4B2A-A402-09CADF394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xdr:colOff>
      <xdr:row>5</xdr:row>
      <xdr:rowOff>0</xdr:rowOff>
    </xdr:from>
    <xdr:to>
      <xdr:col>10</xdr:col>
      <xdr:colOff>310116</xdr:colOff>
      <xdr:row>13</xdr:row>
      <xdr:rowOff>7620</xdr:rowOff>
    </xdr:to>
    <xdr:graphicFrame macro="">
      <xdr:nvGraphicFramePr>
        <xdr:cNvPr id="3" name="Chart 2">
          <a:extLst>
            <a:ext uri="{FF2B5EF4-FFF2-40B4-BE49-F238E27FC236}">
              <a16:creationId xmlns:a16="http://schemas.microsoft.com/office/drawing/2014/main" id="{50244B7D-A9D6-4C03-BEFB-7D21A2C41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16686</xdr:colOff>
      <xdr:row>13</xdr:row>
      <xdr:rowOff>21620</xdr:rowOff>
    </xdr:from>
    <xdr:to>
      <xdr:col>8</xdr:col>
      <xdr:colOff>507733</xdr:colOff>
      <xdr:row>25</xdr:row>
      <xdr:rowOff>0</xdr:rowOff>
    </xdr:to>
    <xdr:graphicFrame macro="">
      <xdr:nvGraphicFramePr>
        <xdr:cNvPr id="4" name="Chart 3">
          <a:extLst>
            <a:ext uri="{FF2B5EF4-FFF2-40B4-BE49-F238E27FC236}">
              <a16:creationId xmlns:a16="http://schemas.microsoft.com/office/drawing/2014/main" id="{87DFE269-ED77-4713-A977-9CD16C084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318976</xdr:colOff>
      <xdr:row>4</xdr:row>
      <xdr:rowOff>177210</xdr:rowOff>
    </xdr:from>
    <xdr:to>
      <xdr:col>14</xdr:col>
      <xdr:colOff>0</xdr:colOff>
      <xdr:row>13</xdr:row>
      <xdr:rowOff>14000</xdr:rowOff>
    </xdr:to>
    <xdr:graphicFrame macro="">
      <xdr:nvGraphicFramePr>
        <xdr:cNvPr id="5" name="Chart 4">
          <a:extLst>
            <a:ext uri="{FF2B5EF4-FFF2-40B4-BE49-F238E27FC236}">
              <a16:creationId xmlns:a16="http://schemas.microsoft.com/office/drawing/2014/main" id="{C86BAB53-DC36-4887-A85F-E9991E1A4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504514</xdr:colOff>
      <xdr:row>13</xdr:row>
      <xdr:rowOff>11696</xdr:rowOff>
    </xdr:from>
    <xdr:to>
      <xdr:col>14</xdr:col>
      <xdr:colOff>0</xdr:colOff>
      <xdr:row>25</xdr:row>
      <xdr:rowOff>11723</xdr:rowOff>
    </xdr:to>
    <xdr:graphicFrame macro="">
      <xdr:nvGraphicFramePr>
        <xdr:cNvPr id="6" name="Chart 5">
          <a:extLst>
            <a:ext uri="{FF2B5EF4-FFF2-40B4-BE49-F238E27FC236}">
              <a16:creationId xmlns:a16="http://schemas.microsoft.com/office/drawing/2014/main" id="{BBC96520-509C-4268-AADB-E6E9E5391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9716</xdr:colOff>
      <xdr:row>4</xdr:row>
      <xdr:rowOff>176560</xdr:rowOff>
    </xdr:from>
    <xdr:to>
      <xdr:col>16</xdr:col>
      <xdr:colOff>7938</xdr:colOff>
      <xdr:row>14</xdr:row>
      <xdr:rowOff>79374</xdr:rowOff>
    </xdr:to>
    <mc:AlternateContent xmlns:mc="http://schemas.openxmlformats.org/markup-compatibility/2006">
      <mc:Choice xmlns:a14="http://schemas.microsoft.com/office/drawing/2010/main" Requires="a14">
        <xdr:graphicFrame macro="">
          <xdr:nvGraphicFramePr>
            <xdr:cNvPr id="7" name="PT_FIRM">
              <a:extLst>
                <a:ext uri="{FF2B5EF4-FFF2-40B4-BE49-F238E27FC236}">
                  <a16:creationId xmlns:a16="http://schemas.microsoft.com/office/drawing/2014/main" id="{FC362C07-2947-8260-9872-928DF2481DD0}"/>
                </a:ext>
              </a:extLst>
            </xdr:cNvPr>
            <xdr:cNvGraphicFramePr/>
          </xdr:nvGraphicFramePr>
          <xdr:xfrm>
            <a:off x="0" y="0"/>
            <a:ext cx="0" cy="0"/>
          </xdr:xfrm>
          <a:graphic>
            <a:graphicData uri="http://schemas.microsoft.com/office/drawing/2010/slicer">
              <sle:slicer xmlns:sle="http://schemas.microsoft.com/office/drawing/2010/slicer" name="PT_FIRM"/>
            </a:graphicData>
          </a:graphic>
        </xdr:graphicFrame>
      </mc:Choice>
      <mc:Fallback>
        <xdr:sp macro="" textlink="">
          <xdr:nvSpPr>
            <xdr:cNvPr id="0" name=""/>
            <xdr:cNvSpPr>
              <a:spLocks noTextEdit="1"/>
            </xdr:cNvSpPr>
          </xdr:nvSpPr>
          <xdr:spPr>
            <a:xfrm>
              <a:off x="8513194" y="927517"/>
              <a:ext cx="1213005" cy="1780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15875</xdr:colOff>
      <xdr:row>14</xdr:row>
      <xdr:rowOff>77075</xdr:rowOff>
    </xdr:from>
    <xdr:to>
      <xdr:col>16</xdr:col>
      <xdr:colOff>15875</xdr:colOff>
      <xdr:row>25</xdr:row>
      <xdr:rowOff>7937</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A9FF1A4E-0A72-37B6-72FA-D53A22349C7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519353" y="2705423"/>
              <a:ext cx="1214783" cy="1995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26306</xdr:rowOff>
    </xdr:from>
    <xdr:to>
      <xdr:col>2</xdr:col>
      <xdr:colOff>10439</xdr:colOff>
      <xdr:row>17</xdr:row>
      <xdr:rowOff>177453</xdr:rowOff>
    </xdr:to>
    <mc:AlternateContent xmlns:mc="http://schemas.openxmlformats.org/markup-compatibility/2006">
      <mc:Choice xmlns:a14="http://schemas.microsoft.com/office/drawing/2010/main" Requires="a14">
        <xdr:graphicFrame macro="">
          <xdr:nvGraphicFramePr>
            <xdr:cNvPr id="10" name="Tax Rate">
              <a:extLst>
                <a:ext uri="{FF2B5EF4-FFF2-40B4-BE49-F238E27FC236}">
                  <a16:creationId xmlns:a16="http://schemas.microsoft.com/office/drawing/2014/main" id="{794F808B-E2B5-049B-E894-C73CECA1EE35}"/>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dr:sp macro="" textlink="">
          <xdr:nvSpPr>
            <xdr:cNvPr id="0" name=""/>
            <xdr:cNvSpPr>
              <a:spLocks noTextEdit="1"/>
            </xdr:cNvSpPr>
          </xdr:nvSpPr>
          <xdr:spPr>
            <a:xfrm>
              <a:off x="0" y="1903697"/>
              <a:ext cx="1225222" cy="1465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172338</xdr:rowOff>
    </xdr:from>
    <xdr:to>
      <xdr:col>2</xdr:col>
      <xdr:colOff>10439</xdr:colOff>
      <xdr:row>10</xdr:row>
      <xdr:rowOff>20878</xdr:rowOff>
    </xdr:to>
    <mc:AlternateContent xmlns:mc="http://schemas.openxmlformats.org/markup-compatibility/2006">
      <mc:Choice xmlns:a14="http://schemas.microsoft.com/office/drawing/2010/main" Requires="a14">
        <xdr:graphicFrame macro="">
          <xdr:nvGraphicFramePr>
            <xdr:cNvPr id="11" name="Description of Goods">
              <a:extLst>
                <a:ext uri="{FF2B5EF4-FFF2-40B4-BE49-F238E27FC236}">
                  <a16:creationId xmlns:a16="http://schemas.microsoft.com/office/drawing/2014/main" id="{26CE11E6-2BEB-8034-4E89-31981100423C}"/>
                </a:ext>
              </a:extLst>
            </xdr:cNvPr>
            <xdr:cNvGraphicFramePr/>
          </xdr:nvGraphicFramePr>
          <xdr:xfrm>
            <a:off x="0" y="0"/>
            <a:ext cx="0" cy="0"/>
          </xdr:xfrm>
          <a:graphic>
            <a:graphicData uri="http://schemas.microsoft.com/office/drawing/2010/slicer">
              <sle:slicer xmlns:sle="http://schemas.microsoft.com/office/drawing/2010/slicer" name="Description of Goods"/>
            </a:graphicData>
          </a:graphic>
        </xdr:graphicFrame>
      </mc:Choice>
      <mc:Fallback>
        <xdr:sp macro="" textlink="">
          <xdr:nvSpPr>
            <xdr:cNvPr id="0" name=""/>
            <xdr:cNvSpPr>
              <a:spLocks noTextEdit="1"/>
            </xdr:cNvSpPr>
          </xdr:nvSpPr>
          <xdr:spPr>
            <a:xfrm>
              <a:off x="0" y="923295"/>
              <a:ext cx="1225222" cy="974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1461</xdr:colOff>
      <xdr:row>17</xdr:row>
      <xdr:rowOff>172547</xdr:rowOff>
    </xdr:from>
    <xdr:to>
      <xdr:col>2</xdr:col>
      <xdr:colOff>10439</xdr:colOff>
      <xdr:row>25</xdr:row>
      <xdr:rowOff>20878</xdr:rowOff>
    </xdr:to>
    <mc:AlternateContent xmlns:mc="http://schemas.openxmlformats.org/markup-compatibility/2006">
      <mc:Choice xmlns:a14="http://schemas.microsoft.com/office/drawing/2010/main" Requires="a14">
        <xdr:graphicFrame macro="">
          <xdr:nvGraphicFramePr>
            <xdr:cNvPr id="12" name="Months (Date)">
              <a:extLst>
                <a:ext uri="{FF2B5EF4-FFF2-40B4-BE49-F238E27FC236}">
                  <a16:creationId xmlns:a16="http://schemas.microsoft.com/office/drawing/2014/main" id="{6148722B-47E1-3567-94E6-89571AC0D0D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461" y="3364112"/>
              <a:ext cx="1223761" cy="1350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69785</xdr:colOff>
      <xdr:row>135</xdr:row>
      <xdr:rowOff>129064</xdr:rowOff>
    </xdr:from>
    <xdr:to>
      <xdr:col>8</xdr:col>
      <xdr:colOff>132771</xdr:colOff>
      <xdr:row>135</xdr:row>
      <xdr:rowOff>174783</xdr:rowOff>
    </xdr:to>
    <xdr:sp macro="" textlink="">
      <xdr:nvSpPr>
        <xdr:cNvPr id="13" name="TextBox 12">
          <a:extLst>
            <a:ext uri="{FF2B5EF4-FFF2-40B4-BE49-F238E27FC236}">
              <a16:creationId xmlns:a16="http://schemas.microsoft.com/office/drawing/2014/main" id="{D3456D15-03CB-6FF2-633C-DD9F7DF6C8FD}"/>
            </a:ext>
          </a:extLst>
        </xdr:cNvPr>
        <xdr:cNvSpPr txBox="1"/>
      </xdr:nvSpPr>
      <xdr:spPr>
        <a:xfrm rot="7705501" flipH="1">
          <a:off x="4973691" y="25058613"/>
          <a:ext cx="45719" cy="629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138546</xdr:colOff>
      <xdr:row>1</xdr:row>
      <xdr:rowOff>23091</xdr:rowOff>
    </xdr:from>
    <xdr:to>
      <xdr:col>14</xdr:col>
      <xdr:colOff>519546</xdr:colOff>
      <xdr:row>4</xdr:row>
      <xdr:rowOff>11546</xdr:rowOff>
    </xdr:to>
    <xdr:sp macro="" textlink="">
      <xdr:nvSpPr>
        <xdr:cNvPr id="15" name="TextBox 14">
          <a:extLst>
            <a:ext uri="{FF2B5EF4-FFF2-40B4-BE49-F238E27FC236}">
              <a16:creationId xmlns:a16="http://schemas.microsoft.com/office/drawing/2014/main" id="{82F040F6-2437-D90F-314C-B4660B5D19EC}"/>
            </a:ext>
          </a:extLst>
        </xdr:cNvPr>
        <xdr:cNvSpPr txBox="1"/>
      </xdr:nvSpPr>
      <xdr:spPr>
        <a:xfrm>
          <a:off x="750455" y="207818"/>
          <a:ext cx="8335818" cy="54263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chemeClr val="bg1"/>
              </a:solidFill>
              <a:latin typeface="Algerian" panose="04020705040A02060702" pitchFamily="82" charset="0"/>
            </a:rPr>
            <a:t>SALES ANALYSIS DASHBOARD</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refreshedDate="46053.605007638886" createdVersion="8" refreshedVersion="8" minRefreshableVersion="3" recordCount="36" xr:uid="{48A1AED5-AFEA-4D02-BFD4-9DB2DBEE2735}">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1561791395"/>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6D66DF-C693-4944-99FD-6823E443FD8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9">
    <pivotField name="PT_FIRM"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Sum of TOTAL" fld="14" baseField="0" baseItem="0" numFmtId="4"/>
  </dataField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10ED1-87B8-4FCF-A546-D6544E392691}"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T_MONTH"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Sum of TOTAL" fld="14" baseField="0" baseItem="0" numFmtId="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731E35-C207-45A0-A164-9BDFCE272CAF}"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1"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chartFormats count="4">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A1A3BE-81AF-4380-B095-D156979FE6B0}"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numFmtId="4"/>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AA31C8-034A-417B-84C7-4B4654493D09}"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showAll="0">
      <items count="3">
        <item x="0"/>
        <item x="1"/>
        <item t="default"/>
      </items>
    </pivotField>
    <pivotField name="PT_STATE"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um of TOTAL" fld="14" baseField="0" baseItem="0" numFmtId="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354C6A60-1F5B-4933-BBDD-DBB42B26C8A6}" sourceName="Firm Name ">
  <pivotTables>
    <pivotTable tabId="8" name="PivotTable1"/>
    <pivotTable tabId="9" name="PivotTable2"/>
    <pivotTable tabId="11" name="PivotTable4"/>
    <pivotTable tabId="12" name="PivotTable5"/>
    <pivotTable tabId="10" name="PivotTable3"/>
  </pivotTables>
  <data>
    <tabular pivotCacheId="15617913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656E17D-133F-4AC1-8C51-7F08B785948F}" sourceName="State">
  <pivotTables>
    <pivotTable tabId="8" name="PivotTable1"/>
    <pivotTable tabId="9" name="PivotTable2"/>
    <pivotTable tabId="11" name="PivotTable4"/>
    <pivotTable tabId="12" name="PivotTable5"/>
    <pivotTable tabId="10" name="PivotTable3"/>
  </pivotTables>
  <data>
    <tabular pivotCacheId="156179139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19073326-A5C5-473A-90A0-92902CB9A4D4}" sourceName="Tax Rate">
  <pivotTables>
    <pivotTable tabId="8" name="PivotTable1"/>
    <pivotTable tabId="9" name="PivotTable2"/>
    <pivotTable tabId="11" name="PivotTable4"/>
    <pivotTable tabId="12" name="PivotTable5"/>
    <pivotTable tabId="10" name="PivotTable3"/>
  </pivotTables>
  <data>
    <tabular pivotCacheId="1561791395">
      <items count="7">
        <i x="3" s="1"/>
        <i x="6" s="1"/>
        <i x="2" s="1"/>
        <i x="5"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4C708702-9C27-42C7-BC25-FCD5145F02AF}" sourceName="Description of Goods">
  <pivotTables>
    <pivotTable tabId="8" name="PivotTable1"/>
    <pivotTable tabId="9" name="PivotTable2"/>
    <pivotTable tabId="11" name="PivotTable4"/>
    <pivotTable tabId="12" name="PivotTable5"/>
    <pivotTable tabId="10" name="PivotTable3"/>
  </pivotTables>
  <data>
    <tabular pivotCacheId="156179139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BFDAA42-D53D-4D4C-B888-1FB16A6E65ED}" sourceName="Months (Date)">
  <pivotTables>
    <pivotTable tabId="8" name="PivotTable1"/>
    <pivotTable tabId="9" name="PivotTable2"/>
    <pivotTable tabId="11" name="PivotTable4"/>
    <pivotTable tabId="12" name="PivotTable5"/>
    <pivotTable tabId="10" name="PivotTable3"/>
  </pivotTables>
  <data>
    <tabular pivotCacheId="1561791395">
      <items count="14">
        <i x="4" s="1"/>
        <i x="5" s="1"/>
        <i x="6" s="1"/>
        <i x="7" s="1"/>
        <i x="1" s="1" nd="1"/>
        <i x="2" s="1" nd="1"/>
        <i x="3"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_FIRM" xr10:uid="{9E49E1A7-B37D-4AEA-9D67-06F661DC9797}" cache="Slicer_Firm_Name" caption="Firms" rowHeight="234950"/>
  <slicer name="State" xr10:uid="{F8B61760-DF62-4540-A57A-AB67017C6FEF}" cache="Slicer_State" caption="State" rowHeight="234950"/>
  <slicer name="Tax Rate" xr10:uid="{8A78006F-7F4B-4118-8D2E-AFF53DAED1A1}" cache="Slicer_Tax_Rate" caption="GST Rate" rowHeight="234950"/>
  <slicer name="Description of Goods" xr10:uid="{A9BF87B9-933B-414E-BDA5-514A2C1973FC}" cache="Slicer_Description_of_Goods" caption="Products" rowHeight="234950"/>
  <slicer name="Months (Date)" xr10:uid="{A6E402E7-7783-4F29-A0B6-5E9FF313EE1E}"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F89DF9-1946-4BFC-88BA-25F86126AACA}" name="Sales_Data" displayName="Sales_Data" ref="A1:P37" totalsRowShown="0" headerRowDxfId="13" dataDxfId="14" tableBorderDxfId="31" dataCellStyle="40% - Accent6">
  <autoFilter ref="A1:P37" xr:uid="{8CF89DF9-1946-4BFC-88BA-25F86126AACA}"/>
  <tableColumns count="16">
    <tableColumn id="1" xr3:uid="{3291085C-9CF9-4260-B45E-C85290BFF8C8}" name="Firm Name " dataDxfId="30" dataCellStyle="40% - Accent6"/>
    <tableColumn id="2" xr3:uid="{082E5FF7-5DE7-4F80-896A-73571A2CE004}" name="State" dataDxfId="29" dataCellStyle="40% - Accent6"/>
    <tableColumn id="3" xr3:uid="{5657E13D-1789-4186-ACED-A60D2C33A25F}" name="Invoice No." dataDxfId="28" dataCellStyle="40% - Accent6"/>
    <tableColumn id="4" xr3:uid="{F5388DCA-BF5A-4377-A48B-2519A054E86A}" name="Date" dataDxfId="27" dataCellStyle="40% - Accent6"/>
    <tableColumn id="5" xr3:uid="{70B6824B-BCB7-409D-BFFA-D83192007496}" name="Tax Rate" dataDxfId="26" dataCellStyle="40% - Accent6"/>
    <tableColumn id="6" xr3:uid="{E182D28F-7172-4501-A402-A6E73782C831}" name="Description of Goods" dataDxfId="25" dataCellStyle="40% - Accent6"/>
    <tableColumn id="7" xr3:uid="{D54643C7-1F16-4B03-B7C9-96FC72E5FFCC}" name="Qty" dataDxfId="24" dataCellStyle="40% - Accent6"/>
    <tableColumn id="8" xr3:uid="{487D7825-AE6A-49D9-86D6-F8F4A563FC64}" name="Unit" dataDxfId="23" dataCellStyle="40% - Accent6"/>
    <tableColumn id="9" xr3:uid="{B47712DB-2E05-49E6-B88F-2A9FEB7B9C62}" name="Rate" dataDxfId="22" dataCellStyle="40% - Accent6"/>
    <tableColumn id="10" xr3:uid="{B99C6499-77B0-483C-B846-801C1915312B}" name="Taxable Value" dataDxfId="21"/>
    <tableColumn id="11" xr3:uid="{72F84FFF-2938-4B98-A6B8-A20384696D94}" name="IGST" dataDxfId="20" dataCellStyle="40% - Accent6"/>
    <tableColumn id="12" xr3:uid="{A5469657-8BDC-43E1-993C-8ADF392227FD}" name="CGST" dataDxfId="19" dataCellStyle="40% - Accent6"/>
    <tableColumn id="13" xr3:uid="{DE9F0A71-9EFD-4187-911E-332465AC50C8}" name="SGST" dataDxfId="18" dataCellStyle="40% - Accent6"/>
    <tableColumn id="14" xr3:uid="{4BA54285-2E68-4856-89B0-AA230DEEDD71}" name="CESS" dataDxfId="17" dataCellStyle="40% - Accent6"/>
    <tableColumn id="15" xr3:uid="{D15A0591-D032-46B3-99CD-989953DE6EF0}" name="TOTAL" dataDxfId="16" dataCellStyle="40% - Accent6"/>
    <tableColumn id="16" xr3:uid="{9FB0F739-C6BE-4DD6-AD32-91E0E48A43F1}" name="INVOICE VALUE"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16</v>
      </c>
      <c r="B4">
        <v>410376.47000000003</v>
      </c>
    </row>
    <row r="5" spans="1:2" x14ac:dyDescent="0.3">
      <c r="A5" s="2" t="s">
        <v>22</v>
      </c>
      <c r="B5">
        <v>459587.38999999996</v>
      </c>
    </row>
    <row r="6" spans="1:2" x14ac:dyDescent="0.3">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3" t="s">
        <v>27</v>
      </c>
      <c r="B4">
        <v>21004</v>
      </c>
    </row>
    <row r="5" spans="1:2" x14ac:dyDescent="0.3">
      <c r="A5" s="3" t="s">
        <v>28</v>
      </c>
      <c r="B5">
        <v>229752.43999999997</v>
      </c>
    </row>
    <row r="6" spans="1:2" x14ac:dyDescent="0.3">
      <c r="A6" s="3" t="s">
        <v>29</v>
      </c>
      <c r="B6">
        <v>389805.09</v>
      </c>
    </row>
    <row r="7" spans="1:2" x14ac:dyDescent="0.3">
      <c r="A7" s="3" t="s">
        <v>30</v>
      </c>
      <c r="B7">
        <v>229402.33</v>
      </c>
    </row>
    <row r="8" spans="1:2" x14ac:dyDescent="0.3">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4" x14ac:dyDescent="0.3"/>
  <cols>
    <col min="1" max="1" width="12.5546875" bestFit="1" customWidth="1"/>
    <col min="2" max="2" width="11.21875" bestFit="1" customWidth="1"/>
    <col min="3" max="3" width="11.77734375" bestFit="1" customWidth="1"/>
    <col min="4" max="4" width="11.6640625" bestFit="1" customWidth="1"/>
    <col min="5" max="6" width="12.88671875" bestFit="1" customWidth="1"/>
  </cols>
  <sheetData>
    <row r="3" spans="1:6" x14ac:dyDescent="0.3">
      <c r="A3" s="1" t="s">
        <v>24</v>
      </c>
      <c r="B3" t="s">
        <v>31</v>
      </c>
      <c r="C3" t="s">
        <v>32</v>
      </c>
      <c r="D3" t="s">
        <v>33</v>
      </c>
      <c r="E3" t="s">
        <v>34</v>
      </c>
      <c r="F3" t="s">
        <v>26</v>
      </c>
    </row>
    <row r="4" spans="1:6" x14ac:dyDescent="0.3">
      <c r="A4" s="4">
        <v>0</v>
      </c>
      <c r="B4">
        <v>0</v>
      </c>
      <c r="C4">
        <v>0</v>
      </c>
      <c r="D4">
        <v>0</v>
      </c>
      <c r="F4">
        <v>84740</v>
      </c>
    </row>
    <row r="5" spans="1:6" x14ac:dyDescent="0.3">
      <c r="A5" s="4">
        <v>1E-3</v>
      </c>
      <c r="B5">
        <v>0</v>
      </c>
      <c r="C5">
        <v>46.83</v>
      </c>
      <c r="D5">
        <v>46.83</v>
      </c>
      <c r="F5">
        <v>93753.659999999989</v>
      </c>
    </row>
    <row r="6" spans="1:6" x14ac:dyDescent="0.3">
      <c r="A6" s="4">
        <v>0.03</v>
      </c>
      <c r="B6">
        <v>1505.25</v>
      </c>
      <c r="C6">
        <v>1087.125</v>
      </c>
      <c r="D6">
        <v>1087.125</v>
      </c>
      <c r="F6">
        <v>126329.5</v>
      </c>
    </row>
    <row r="7" spans="1:6" x14ac:dyDescent="0.3">
      <c r="A7" s="4">
        <v>0.05</v>
      </c>
      <c r="B7">
        <v>1393.75</v>
      </c>
      <c r="C7">
        <v>2871.125</v>
      </c>
      <c r="D7">
        <v>2871.125</v>
      </c>
      <c r="F7">
        <v>149856</v>
      </c>
    </row>
    <row r="8" spans="1:6" x14ac:dyDescent="0.3">
      <c r="A8" s="4">
        <v>0.12</v>
      </c>
      <c r="B8">
        <v>0</v>
      </c>
      <c r="C8">
        <v>7559.4</v>
      </c>
      <c r="D8">
        <v>7559.4</v>
      </c>
      <c r="F8">
        <v>141108.79999999999</v>
      </c>
    </row>
    <row r="9" spans="1:6" x14ac:dyDescent="0.3">
      <c r="A9" s="4">
        <v>0.18</v>
      </c>
      <c r="B9">
        <v>8429.4</v>
      </c>
      <c r="C9">
        <v>3307.95</v>
      </c>
      <c r="D9">
        <v>3307.95</v>
      </c>
      <c r="F9">
        <v>98630.3</v>
      </c>
    </row>
    <row r="10" spans="1:6" x14ac:dyDescent="0.3">
      <c r="A10" s="4">
        <v>0.28000000000000003</v>
      </c>
      <c r="B10">
        <v>0</v>
      </c>
      <c r="C10">
        <v>19200.300000000003</v>
      </c>
      <c r="D10">
        <v>19200.300000000003</v>
      </c>
      <c r="F10">
        <v>175545.59999999998</v>
      </c>
    </row>
    <row r="11" spans="1:6" x14ac:dyDescent="0.3">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v>427057.24</v>
      </c>
    </row>
    <row r="5" spans="1:2" x14ac:dyDescent="0.3">
      <c r="A5" s="2" t="s">
        <v>18</v>
      </c>
      <c r="B5">
        <v>442906.61999999994</v>
      </c>
    </row>
    <row r="6" spans="1:2" x14ac:dyDescent="0.3">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A2CB4-C914-4D90-868A-C698CE633737}">
  <dimension ref="A3:B6"/>
  <sheetViews>
    <sheetView workbookViewId="0">
      <selection activeCell="F11" sqref="F11"/>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16</v>
      </c>
      <c r="B4" s="28">
        <v>410376.47000000003</v>
      </c>
    </row>
    <row r="5" spans="1:2" x14ac:dyDescent="0.3">
      <c r="A5" s="2" t="s">
        <v>22</v>
      </c>
      <c r="B5" s="28">
        <v>459587.38999999996</v>
      </c>
    </row>
    <row r="6" spans="1:2" x14ac:dyDescent="0.3">
      <c r="A6" s="2" t="s">
        <v>25</v>
      </c>
      <c r="B6" s="28">
        <v>869963.86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0C21B-048B-4207-9713-31D252BFB7A8}">
  <dimension ref="A3:B8"/>
  <sheetViews>
    <sheetView workbookViewId="0">
      <selection activeCell="D16" sqref="D16"/>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27</v>
      </c>
      <c r="B4" s="28">
        <v>21004</v>
      </c>
    </row>
    <row r="5" spans="1:2" x14ac:dyDescent="0.3">
      <c r="A5" s="2" t="s">
        <v>28</v>
      </c>
      <c r="B5" s="28">
        <v>229752.43999999997</v>
      </c>
    </row>
    <row r="6" spans="1:2" x14ac:dyDescent="0.3">
      <c r="A6" s="2" t="s">
        <v>29</v>
      </c>
      <c r="B6" s="28">
        <v>389805.09</v>
      </c>
    </row>
    <row r="7" spans="1:2" x14ac:dyDescent="0.3">
      <c r="A7" s="2" t="s">
        <v>30</v>
      </c>
      <c r="B7" s="28">
        <v>229402.33</v>
      </c>
    </row>
    <row r="8" spans="1:2" x14ac:dyDescent="0.3">
      <c r="A8" s="2" t="s">
        <v>25</v>
      </c>
      <c r="B8" s="28">
        <v>869963.86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0CBB-CCED-434F-B6E8-4160E6D47453}">
  <dimension ref="A3:E11"/>
  <sheetViews>
    <sheetView zoomScale="58" zoomScaleNormal="58" workbookViewId="0">
      <selection activeCell="H7" sqref="H7"/>
    </sheetView>
  </sheetViews>
  <sheetFormatPr defaultRowHeight="14.4" x14ac:dyDescent="0.3"/>
  <cols>
    <col min="1" max="1" width="18.88671875" bestFit="1" customWidth="1"/>
    <col min="2" max="2" width="17.109375" bestFit="1" customWidth="1"/>
    <col min="3" max="4" width="18.109375" bestFit="1" customWidth="1"/>
    <col min="5" max="5" width="19.6640625" bestFit="1" customWidth="1"/>
    <col min="6" max="6" width="12.88671875" bestFit="1" customWidth="1"/>
  </cols>
  <sheetData>
    <row r="3" spans="1:5" x14ac:dyDescent="0.3">
      <c r="A3" s="1" t="s">
        <v>24</v>
      </c>
      <c r="B3" t="s">
        <v>31</v>
      </c>
      <c r="C3" t="s">
        <v>32</v>
      </c>
      <c r="D3" t="s">
        <v>33</v>
      </c>
      <c r="E3" t="s">
        <v>26</v>
      </c>
    </row>
    <row r="4" spans="1:5" x14ac:dyDescent="0.3">
      <c r="A4" s="4">
        <v>0</v>
      </c>
      <c r="B4" s="28">
        <v>0</v>
      </c>
      <c r="C4" s="28">
        <v>0</v>
      </c>
      <c r="D4" s="28">
        <v>0</v>
      </c>
      <c r="E4" s="28">
        <v>84740</v>
      </c>
    </row>
    <row r="5" spans="1:5" x14ac:dyDescent="0.3">
      <c r="A5" s="4">
        <v>1E-3</v>
      </c>
      <c r="B5" s="28">
        <v>0</v>
      </c>
      <c r="C5" s="28">
        <v>46.83</v>
      </c>
      <c r="D5" s="28">
        <v>46.83</v>
      </c>
      <c r="E5" s="28">
        <v>93753.659999999989</v>
      </c>
    </row>
    <row r="6" spans="1:5" x14ac:dyDescent="0.3">
      <c r="A6" s="4">
        <v>0.03</v>
      </c>
      <c r="B6" s="28">
        <v>1505.25</v>
      </c>
      <c r="C6" s="28">
        <v>1087.125</v>
      </c>
      <c r="D6" s="28">
        <v>1087.125</v>
      </c>
      <c r="E6" s="28">
        <v>126329.5</v>
      </c>
    </row>
    <row r="7" spans="1:5" x14ac:dyDescent="0.3">
      <c r="A7" s="4">
        <v>0.05</v>
      </c>
      <c r="B7" s="28">
        <v>1393.75</v>
      </c>
      <c r="C7" s="28">
        <v>2871.125</v>
      </c>
      <c r="D7" s="28">
        <v>2871.125</v>
      </c>
      <c r="E7" s="28">
        <v>149856</v>
      </c>
    </row>
    <row r="8" spans="1:5" x14ac:dyDescent="0.3">
      <c r="A8" s="4">
        <v>0.12</v>
      </c>
      <c r="B8" s="28">
        <v>0</v>
      </c>
      <c r="C8" s="28">
        <v>7559.4</v>
      </c>
      <c r="D8" s="28">
        <v>7559.4</v>
      </c>
      <c r="E8" s="28">
        <v>141108.79999999999</v>
      </c>
    </row>
    <row r="9" spans="1:5" x14ac:dyDescent="0.3">
      <c r="A9" s="4">
        <v>0.18</v>
      </c>
      <c r="B9" s="28">
        <v>8429.4</v>
      </c>
      <c r="C9" s="28">
        <v>3307.95</v>
      </c>
      <c r="D9" s="28">
        <v>3307.95</v>
      </c>
      <c r="E9" s="28">
        <v>98630.3</v>
      </c>
    </row>
    <row r="10" spans="1:5" x14ac:dyDescent="0.3">
      <c r="A10" s="4">
        <v>0.28000000000000003</v>
      </c>
      <c r="B10" s="28">
        <v>0</v>
      </c>
      <c r="C10" s="28">
        <v>19200.300000000003</v>
      </c>
      <c r="D10" s="28">
        <v>19200.300000000003</v>
      </c>
      <c r="E10" s="28">
        <v>175545.59999999998</v>
      </c>
    </row>
    <row r="11" spans="1:5" x14ac:dyDescent="0.3">
      <c r="A11" s="4" t="s">
        <v>25</v>
      </c>
      <c r="B11" s="28">
        <v>11328.4</v>
      </c>
      <c r="C11" s="28">
        <v>34072.730000000003</v>
      </c>
      <c r="D11" s="28">
        <v>34072.730000000003</v>
      </c>
      <c r="E11" s="28">
        <v>869963.86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F642-B9B9-4C85-B6B7-076DA01DAA72}">
  <dimension ref="A3:B6"/>
  <sheetViews>
    <sheetView workbookViewId="0">
      <selection activeCell="G2" sqref="G2"/>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s="28">
        <v>427057.24</v>
      </c>
    </row>
    <row r="5" spans="1:2" x14ac:dyDescent="0.3">
      <c r="A5" s="2" t="s">
        <v>18</v>
      </c>
      <c r="B5" s="28">
        <v>442906.61999999994</v>
      </c>
    </row>
    <row r="6" spans="1:2" x14ac:dyDescent="0.3">
      <c r="A6" s="2" t="s">
        <v>25</v>
      </c>
      <c r="B6" s="28">
        <v>869963.85999999987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98355-2503-4AC2-BCE9-40A6FECFA43D}">
  <dimension ref="A3:B6"/>
  <sheetViews>
    <sheetView workbookViewId="0">
      <selection activeCell="E4" sqref="E4"/>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21</v>
      </c>
      <c r="B4" s="28">
        <v>139553.4</v>
      </c>
    </row>
    <row r="5" spans="1:2" x14ac:dyDescent="0.3">
      <c r="A5" s="2" t="s">
        <v>17</v>
      </c>
      <c r="B5" s="28">
        <v>730410.46</v>
      </c>
    </row>
    <row r="6" spans="1:2" x14ac:dyDescent="0.3">
      <c r="A6" s="2" t="s">
        <v>25</v>
      </c>
      <c r="B6" s="28">
        <v>869963.86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D3E2-E0DA-471C-A1FA-7D6594FB4C20}">
  <dimension ref="A1:Q41"/>
  <sheetViews>
    <sheetView tabSelected="1" zoomScale="69" workbookViewId="0">
      <selection activeCell="C34" sqref="C34"/>
    </sheetView>
  </sheetViews>
  <sheetFormatPr defaultRowHeight="14.4" x14ac:dyDescent="0.3"/>
  <sheetData>
    <row r="1" spans="1:17" x14ac:dyDescent="0.3">
      <c r="A1" s="30"/>
      <c r="B1" s="30"/>
      <c r="C1" s="30"/>
      <c r="D1" s="30"/>
      <c r="E1" s="30"/>
      <c r="F1" s="30"/>
      <c r="G1" s="30"/>
      <c r="H1" s="30"/>
      <c r="I1" s="30"/>
      <c r="J1" s="30"/>
      <c r="K1" s="30"/>
      <c r="L1" s="30"/>
      <c r="M1" s="30"/>
      <c r="N1" s="30"/>
      <c r="O1" s="30"/>
      <c r="P1" s="30"/>
      <c r="Q1" s="31"/>
    </row>
    <row r="2" spans="1:17" x14ac:dyDescent="0.3">
      <c r="A2" s="30"/>
      <c r="B2" s="30"/>
      <c r="C2" s="30"/>
      <c r="D2" s="30"/>
      <c r="E2" s="30"/>
      <c r="F2" s="30"/>
      <c r="G2" s="30"/>
      <c r="H2" s="30"/>
      <c r="I2" s="30"/>
      <c r="J2" s="30"/>
      <c r="K2" s="30"/>
      <c r="L2" s="30"/>
      <c r="M2" s="30"/>
      <c r="N2" s="30"/>
      <c r="O2" s="30"/>
      <c r="P2" s="30"/>
      <c r="Q2" s="31"/>
    </row>
    <row r="3" spans="1:17" x14ac:dyDescent="0.3">
      <c r="A3" s="30"/>
      <c r="B3" s="30"/>
      <c r="C3" s="30"/>
      <c r="D3" s="30"/>
      <c r="E3" s="30"/>
      <c r="F3" s="30"/>
      <c r="G3" s="30"/>
      <c r="H3" s="30"/>
      <c r="I3" s="30"/>
      <c r="J3" s="30"/>
      <c r="K3" s="30"/>
      <c r="L3" s="30"/>
      <c r="M3" s="30"/>
      <c r="N3" s="30"/>
      <c r="O3" s="30"/>
      <c r="P3" s="30"/>
      <c r="Q3" s="31"/>
    </row>
    <row r="4" spans="1:17" x14ac:dyDescent="0.3">
      <c r="A4" s="30"/>
      <c r="B4" s="30"/>
      <c r="C4" s="30"/>
      <c r="D4" s="30"/>
      <c r="E4" s="30"/>
      <c r="F4" s="30"/>
      <c r="G4" s="30"/>
      <c r="H4" s="30"/>
      <c r="I4" s="30"/>
      <c r="J4" s="30"/>
      <c r="K4" s="30"/>
      <c r="L4" s="30"/>
      <c r="M4" s="30"/>
      <c r="N4" s="30"/>
      <c r="O4" s="30"/>
      <c r="P4" s="30"/>
      <c r="Q4" s="31"/>
    </row>
    <row r="5" spans="1:17" x14ac:dyDescent="0.3">
      <c r="A5" s="30"/>
      <c r="B5" s="30"/>
      <c r="C5" s="30"/>
      <c r="D5" s="30"/>
      <c r="E5" s="30"/>
      <c r="F5" s="30"/>
      <c r="G5" s="30"/>
      <c r="H5" s="30"/>
      <c r="I5" s="30"/>
      <c r="J5" s="30"/>
      <c r="K5" s="30"/>
      <c r="L5" s="30"/>
      <c r="M5" s="30"/>
      <c r="N5" s="30"/>
      <c r="O5" s="30"/>
      <c r="P5" s="30"/>
      <c r="Q5" s="31"/>
    </row>
    <row r="6" spans="1:17" x14ac:dyDescent="0.3">
      <c r="A6" s="30"/>
      <c r="B6" s="30"/>
      <c r="C6" s="30"/>
      <c r="D6" s="30"/>
      <c r="E6" s="30"/>
      <c r="F6" s="30"/>
      <c r="G6" s="30"/>
      <c r="H6" s="30"/>
      <c r="I6" s="30"/>
      <c r="J6" s="30"/>
      <c r="K6" s="30"/>
      <c r="L6" s="30"/>
      <c r="M6" s="30"/>
      <c r="N6" s="30"/>
      <c r="O6" s="30"/>
      <c r="P6" s="30"/>
      <c r="Q6" s="31"/>
    </row>
    <row r="7" spans="1:17" x14ac:dyDescent="0.3">
      <c r="A7" s="30"/>
      <c r="B7" s="30"/>
      <c r="C7" s="30"/>
      <c r="D7" s="30"/>
      <c r="E7" s="30"/>
      <c r="F7" s="30"/>
      <c r="G7" s="30"/>
      <c r="H7" s="30"/>
      <c r="I7" s="30"/>
      <c r="J7" s="30"/>
      <c r="K7" s="30"/>
      <c r="L7" s="30"/>
      <c r="M7" s="30"/>
      <c r="N7" s="30"/>
      <c r="O7" s="30"/>
      <c r="P7" s="30"/>
      <c r="Q7" s="31"/>
    </row>
    <row r="8" spans="1:17" x14ac:dyDescent="0.3">
      <c r="A8" s="30"/>
      <c r="B8" s="30"/>
      <c r="C8" s="30"/>
      <c r="D8" s="30"/>
      <c r="E8" s="30"/>
      <c r="F8" s="30"/>
      <c r="G8" s="30"/>
      <c r="H8" s="30"/>
      <c r="I8" s="30"/>
      <c r="J8" s="30"/>
      <c r="K8" s="30"/>
      <c r="L8" s="30"/>
      <c r="M8" s="30"/>
      <c r="N8" s="30"/>
      <c r="O8" s="30"/>
      <c r="P8" s="30"/>
      <c r="Q8" s="31"/>
    </row>
    <row r="9" spans="1:17" x14ac:dyDescent="0.3">
      <c r="A9" s="30"/>
      <c r="B9" s="30"/>
      <c r="C9" s="30"/>
      <c r="D9" s="30"/>
      <c r="E9" s="30"/>
      <c r="F9" s="30"/>
      <c r="G9" s="30"/>
      <c r="H9" s="30"/>
      <c r="I9" s="30"/>
      <c r="J9" s="30"/>
      <c r="K9" s="30"/>
      <c r="L9" s="30"/>
      <c r="M9" s="30"/>
      <c r="N9" s="30"/>
      <c r="O9" s="30"/>
      <c r="P9" s="30"/>
      <c r="Q9" s="31"/>
    </row>
    <row r="10" spans="1:17" x14ac:dyDescent="0.3">
      <c r="A10" s="30"/>
      <c r="B10" s="30"/>
      <c r="C10" s="30"/>
      <c r="D10" s="30"/>
      <c r="E10" s="30"/>
      <c r="F10" s="30"/>
      <c r="G10" s="30"/>
      <c r="H10" s="30"/>
      <c r="I10" s="30"/>
      <c r="J10" s="30"/>
      <c r="K10" s="30"/>
      <c r="L10" s="30"/>
      <c r="M10" s="30"/>
      <c r="N10" s="30"/>
      <c r="O10" s="30"/>
      <c r="P10" s="30"/>
      <c r="Q10" s="31"/>
    </row>
    <row r="11" spans="1:17" x14ac:dyDescent="0.3">
      <c r="A11" s="30"/>
      <c r="B11" s="30"/>
      <c r="C11" s="30"/>
      <c r="D11" s="30"/>
      <c r="E11" s="30"/>
      <c r="F11" s="30"/>
      <c r="G11" s="30"/>
      <c r="H11" s="30"/>
      <c r="I11" s="30"/>
      <c r="J11" s="30"/>
      <c r="K11" s="30"/>
      <c r="L11" s="30"/>
      <c r="M11" s="30"/>
      <c r="N11" s="30"/>
      <c r="O11" s="30"/>
      <c r="P11" s="30"/>
      <c r="Q11" s="31"/>
    </row>
    <row r="12" spans="1:17" x14ac:dyDescent="0.3">
      <c r="A12" s="30"/>
      <c r="B12" s="30"/>
      <c r="C12" s="30"/>
      <c r="D12" s="30"/>
      <c r="E12" s="30"/>
      <c r="F12" s="30"/>
      <c r="G12" s="30"/>
      <c r="H12" s="30"/>
      <c r="I12" s="30"/>
      <c r="J12" s="30"/>
      <c r="K12" s="30"/>
      <c r="L12" s="30"/>
      <c r="M12" s="30"/>
      <c r="N12" s="30"/>
      <c r="O12" s="30"/>
      <c r="P12" s="30"/>
      <c r="Q12" s="31"/>
    </row>
    <row r="13" spans="1:17" x14ac:dyDescent="0.3">
      <c r="A13" s="30"/>
      <c r="B13" s="30"/>
      <c r="C13" s="30"/>
      <c r="D13" s="30"/>
      <c r="E13" s="30"/>
      <c r="F13" s="30"/>
      <c r="G13" s="30"/>
      <c r="H13" s="30"/>
      <c r="I13" s="30"/>
      <c r="J13" s="30"/>
      <c r="K13" s="30"/>
      <c r="L13" s="30"/>
      <c r="M13" s="30"/>
      <c r="N13" s="30"/>
      <c r="O13" s="30"/>
      <c r="P13" s="30"/>
      <c r="Q13" s="31"/>
    </row>
    <row r="14" spans="1:17" x14ac:dyDescent="0.3">
      <c r="A14" s="30"/>
      <c r="B14" s="30"/>
      <c r="C14" s="30"/>
      <c r="D14" s="30"/>
      <c r="E14" s="30"/>
      <c r="F14" s="30"/>
      <c r="G14" s="30"/>
      <c r="H14" s="30"/>
      <c r="I14" s="30"/>
      <c r="J14" s="30"/>
      <c r="K14" s="30"/>
      <c r="L14" s="30"/>
      <c r="M14" s="30"/>
      <c r="N14" s="30"/>
      <c r="O14" s="30"/>
      <c r="P14" s="30"/>
      <c r="Q14" s="31"/>
    </row>
    <row r="15" spans="1:17" x14ac:dyDescent="0.3">
      <c r="A15" s="30"/>
      <c r="B15" s="30"/>
      <c r="C15" s="30"/>
      <c r="D15" s="30"/>
      <c r="E15" s="30"/>
      <c r="F15" s="30"/>
      <c r="G15" s="30"/>
      <c r="H15" s="30"/>
      <c r="I15" s="30"/>
      <c r="J15" s="30"/>
      <c r="K15" s="30"/>
      <c r="L15" s="30"/>
      <c r="M15" s="30"/>
      <c r="N15" s="30"/>
      <c r="O15" s="30"/>
      <c r="P15" s="30"/>
      <c r="Q15" s="31"/>
    </row>
    <row r="16" spans="1:17" x14ac:dyDescent="0.3">
      <c r="A16" s="30"/>
      <c r="B16" s="30"/>
      <c r="C16" s="30"/>
      <c r="D16" s="30"/>
      <c r="E16" s="30"/>
      <c r="F16" s="30"/>
      <c r="G16" s="30"/>
      <c r="H16" s="30"/>
      <c r="I16" s="30"/>
      <c r="J16" s="30"/>
      <c r="K16" s="30"/>
      <c r="L16" s="30"/>
      <c r="M16" s="30"/>
      <c r="N16" s="30"/>
      <c r="O16" s="30"/>
      <c r="P16" s="30"/>
      <c r="Q16" s="31"/>
    </row>
    <row r="17" spans="1:17" x14ac:dyDescent="0.3">
      <c r="A17" s="30"/>
      <c r="B17" s="30"/>
      <c r="C17" s="30"/>
      <c r="D17" s="30"/>
      <c r="E17" s="30"/>
      <c r="F17" s="30"/>
      <c r="G17" s="30"/>
      <c r="H17" s="30"/>
      <c r="I17" s="30"/>
      <c r="J17" s="30"/>
      <c r="K17" s="30"/>
      <c r="L17" s="30"/>
      <c r="M17" s="30"/>
      <c r="N17" s="30"/>
      <c r="O17" s="30"/>
      <c r="P17" s="30"/>
      <c r="Q17" s="31"/>
    </row>
    <row r="18" spans="1:17" x14ac:dyDescent="0.3">
      <c r="A18" s="30"/>
      <c r="B18" s="30"/>
      <c r="C18" s="30"/>
      <c r="D18" s="30"/>
      <c r="E18" s="30"/>
      <c r="F18" s="30"/>
      <c r="G18" s="30"/>
      <c r="H18" s="30"/>
      <c r="I18" s="30"/>
      <c r="J18" s="30"/>
      <c r="K18" s="30"/>
      <c r="L18" s="30"/>
      <c r="M18" s="30"/>
      <c r="N18" s="30"/>
      <c r="O18" s="30"/>
      <c r="P18" s="30"/>
      <c r="Q18" s="31"/>
    </row>
    <row r="19" spans="1:17" x14ac:dyDescent="0.3">
      <c r="A19" s="30"/>
      <c r="B19" s="30"/>
      <c r="C19" s="30"/>
      <c r="D19" s="30"/>
      <c r="E19" s="30"/>
      <c r="F19" s="30"/>
      <c r="G19" s="30"/>
      <c r="H19" s="30"/>
      <c r="I19" s="30"/>
      <c r="J19" s="30"/>
      <c r="K19" s="30"/>
      <c r="L19" s="30"/>
      <c r="M19" s="30"/>
      <c r="N19" s="30"/>
      <c r="O19" s="30"/>
      <c r="P19" s="30"/>
      <c r="Q19" s="31"/>
    </row>
    <row r="20" spans="1:17" x14ac:dyDescent="0.3">
      <c r="A20" s="30"/>
      <c r="B20" s="30"/>
      <c r="C20" s="30"/>
      <c r="D20" s="30"/>
      <c r="E20" s="30"/>
      <c r="F20" s="30"/>
      <c r="G20" s="30"/>
      <c r="H20" s="30"/>
      <c r="I20" s="30"/>
      <c r="J20" s="30"/>
      <c r="K20" s="30"/>
      <c r="L20" s="30"/>
      <c r="M20" s="30"/>
      <c r="N20" s="30"/>
      <c r="O20" s="30"/>
      <c r="P20" s="30"/>
      <c r="Q20" s="31"/>
    </row>
    <row r="21" spans="1:17" x14ac:dyDescent="0.3">
      <c r="A21" s="30"/>
      <c r="B21" s="30"/>
      <c r="C21" s="30"/>
      <c r="D21" s="30"/>
      <c r="E21" s="30"/>
      <c r="F21" s="30"/>
      <c r="G21" s="30"/>
      <c r="H21" s="30"/>
      <c r="I21" s="30"/>
      <c r="J21" s="30"/>
      <c r="K21" s="30"/>
      <c r="L21" s="30"/>
      <c r="M21" s="30"/>
      <c r="N21" s="30"/>
      <c r="O21" s="30"/>
      <c r="P21" s="30"/>
      <c r="Q21" s="31"/>
    </row>
    <row r="22" spans="1:17" x14ac:dyDescent="0.3">
      <c r="A22" s="30"/>
      <c r="B22" s="30"/>
      <c r="C22" s="30"/>
      <c r="D22" s="30"/>
      <c r="E22" s="30"/>
      <c r="F22" s="30"/>
      <c r="G22" s="30"/>
      <c r="H22" s="30"/>
      <c r="I22" s="30"/>
      <c r="J22" s="30"/>
      <c r="K22" s="30"/>
      <c r="L22" s="30"/>
      <c r="M22" s="30"/>
      <c r="N22" s="30"/>
      <c r="O22" s="30"/>
      <c r="P22" s="30"/>
      <c r="Q22" s="31"/>
    </row>
    <row r="23" spans="1:17" x14ac:dyDescent="0.3">
      <c r="A23" s="30"/>
      <c r="B23" s="30"/>
      <c r="C23" s="30"/>
      <c r="D23" s="30"/>
      <c r="E23" s="30"/>
      <c r="F23" s="30"/>
      <c r="G23" s="30"/>
      <c r="H23" s="30"/>
      <c r="I23" s="30"/>
      <c r="J23" s="30"/>
      <c r="K23" s="30"/>
      <c r="L23" s="30"/>
      <c r="M23" s="30"/>
      <c r="N23" s="30"/>
      <c r="O23" s="30"/>
      <c r="P23" s="30"/>
      <c r="Q23" s="31"/>
    </row>
    <row r="24" spans="1:17" x14ac:dyDescent="0.3">
      <c r="A24" s="30"/>
      <c r="B24" s="30"/>
      <c r="C24" s="30"/>
      <c r="D24" s="30"/>
      <c r="E24" s="30"/>
      <c r="F24" s="30"/>
      <c r="G24" s="30"/>
      <c r="H24" s="30"/>
      <c r="I24" s="30"/>
      <c r="J24" s="30"/>
      <c r="K24" s="30"/>
      <c r="L24" s="30"/>
      <c r="M24" s="30"/>
      <c r="N24" s="30"/>
      <c r="O24" s="30"/>
      <c r="P24" s="30"/>
      <c r="Q24" s="31"/>
    </row>
    <row r="25" spans="1:17" x14ac:dyDescent="0.3">
      <c r="A25" s="30"/>
      <c r="B25" s="30"/>
      <c r="C25" s="30"/>
      <c r="D25" s="30"/>
      <c r="E25" s="30"/>
      <c r="F25" s="30"/>
      <c r="G25" s="30"/>
      <c r="H25" s="30"/>
      <c r="I25" s="30"/>
      <c r="J25" s="30"/>
      <c r="K25" s="30"/>
      <c r="L25" s="30"/>
      <c r="M25" s="30"/>
      <c r="N25" s="30"/>
      <c r="O25" s="30"/>
      <c r="P25" s="30"/>
      <c r="Q25" s="31"/>
    </row>
    <row r="26" spans="1:17" x14ac:dyDescent="0.3">
      <c r="A26" s="30"/>
      <c r="B26" s="30"/>
      <c r="C26" s="30"/>
      <c r="D26" s="30"/>
      <c r="E26" s="30"/>
      <c r="F26" s="30"/>
      <c r="G26" s="30"/>
      <c r="H26" s="30"/>
      <c r="I26" s="30"/>
      <c r="J26" s="30"/>
      <c r="K26" s="30"/>
      <c r="L26" s="30"/>
      <c r="M26" s="30"/>
      <c r="N26" s="30"/>
      <c r="O26" s="30"/>
      <c r="P26" s="30"/>
      <c r="Q26" s="31"/>
    </row>
    <row r="27" spans="1:17" x14ac:dyDescent="0.3">
      <c r="A27" s="30"/>
      <c r="B27" s="30"/>
      <c r="C27" s="30"/>
      <c r="D27" s="30"/>
      <c r="E27" s="30"/>
      <c r="F27" s="30"/>
      <c r="G27" s="30"/>
      <c r="H27" s="30"/>
      <c r="I27" s="30"/>
      <c r="J27" s="30"/>
      <c r="K27" s="30"/>
      <c r="L27" s="30"/>
      <c r="M27" s="30"/>
      <c r="N27" s="30"/>
      <c r="O27" s="30"/>
      <c r="P27" s="30"/>
      <c r="Q27" s="31"/>
    </row>
    <row r="28" spans="1:17" x14ac:dyDescent="0.3">
      <c r="A28" s="30"/>
      <c r="B28" s="30"/>
      <c r="C28" s="30"/>
      <c r="D28" s="30"/>
      <c r="E28" s="30"/>
      <c r="F28" s="30"/>
      <c r="G28" s="30"/>
      <c r="H28" s="30"/>
      <c r="I28" s="30"/>
      <c r="J28" s="30"/>
      <c r="K28" s="30"/>
      <c r="L28" s="30"/>
      <c r="M28" s="30"/>
      <c r="N28" s="30"/>
      <c r="O28" s="30"/>
      <c r="P28" s="30"/>
      <c r="Q28" s="31"/>
    </row>
    <row r="29" spans="1:17" x14ac:dyDescent="0.3">
      <c r="A29" s="29"/>
      <c r="B29" s="29"/>
      <c r="C29" s="29"/>
      <c r="D29" s="29"/>
      <c r="E29" s="29"/>
      <c r="F29" s="29"/>
      <c r="G29" s="29"/>
      <c r="H29" s="29"/>
      <c r="I29" s="29"/>
      <c r="J29" s="29"/>
      <c r="K29" s="29"/>
      <c r="L29" s="29"/>
      <c r="M29" s="29"/>
      <c r="N29" s="29"/>
      <c r="O29" s="29"/>
      <c r="P29" s="29"/>
      <c r="Q29" s="31"/>
    </row>
    <row r="30" spans="1:17" x14ac:dyDescent="0.3">
      <c r="A30" s="29"/>
      <c r="B30" s="29"/>
      <c r="C30" s="29"/>
      <c r="D30" s="29"/>
      <c r="E30" s="29"/>
      <c r="F30" s="29"/>
      <c r="G30" s="29"/>
      <c r="H30" s="29"/>
      <c r="I30" s="29"/>
      <c r="J30" s="29"/>
      <c r="K30" s="29"/>
      <c r="L30" s="29"/>
      <c r="M30" s="29"/>
      <c r="N30" s="29"/>
      <c r="O30" s="29"/>
      <c r="P30" s="29"/>
      <c r="Q30" s="31"/>
    </row>
    <row r="31" spans="1:17" x14ac:dyDescent="0.3">
      <c r="A31" s="29"/>
      <c r="B31" s="29"/>
      <c r="C31" s="29"/>
      <c r="D31" s="29"/>
      <c r="E31" s="29"/>
      <c r="F31" s="29"/>
      <c r="G31" s="29"/>
      <c r="H31" s="29"/>
      <c r="I31" s="29"/>
      <c r="J31" s="29"/>
      <c r="K31" s="29"/>
      <c r="L31" s="29"/>
      <c r="M31" s="29"/>
      <c r="N31" s="29"/>
      <c r="O31" s="29"/>
      <c r="P31" s="29"/>
      <c r="Q31" s="31"/>
    </row>
    <row r="32" spans="1:17" x14ac:dyDescent="0.3">
      <c r="A32" s="29"/>
      <c r="B32" s="29"/>
      <c r="C32" s="29"/>
      <c r="D32" s="29"/>
      <c r="E32" s="29"/>
      <c r="F32" s="29"/>
      <c r="G32" s="29"/>
      <c r="H32" s="29"/>
      <c r="I32" s="29"/>
      <c r="J32" s="29"/>
      <c r="K32" s="29"/>
      <c r="L32" s="29"/>
      <c r="M32" s="29"/>
      <c r="N32" s="29"/>
      <c r="O32" s="29"/>
      <c r="P32" s="29"/>
      <c r="Q32" s="31"/>
    </row>
    <row r="33" spans="1:17" x14ac:dyDescent="0.3">
      <c r="A33" s="29"/>
      <c r="B33" s="29"/>
      <c r="C33" s="29"/>
      <c r="D33" s="29"/>
      <c r="E33" s="29"/>
      <c r="F33" s="29"/>
      <c r="G33" s="29"/>
      <c r="H33" s="29"/>
      <c r="I33" s="29"/>
      <c r="J33" s="29"/>
      <c r="K33" s="29"/>
      <c r="L33" s="29"/>
      <c r="M33" s="29"/>
      <c r="N33" s="29"/>
      <c r="O33" s="29"/>
      <c r="P33" s="29"/>
      <c r="Q33" s="31"/>
    </row>
    <row r="34" spans="1:17" x14ac:dyDescent="0.3">
      <c r="A34" s="29"/>
      <c r="B34" s="29"/>
      <c r="C34" s="29"/>
      <c r="D34" s="29"/>
      <c r="E34" s="29"/>
      <c r="F34" s="29"/>
      <c r="G34" s="29"/>
      <c r="H34" s="29"/>
      <c r="I34" s="29"/>
      <c r="J34" s="29"/>
      <c r="K34" s="29"/>
      <c r="L34" s="29"/>
      <c r="M34" s="29"/>
      <c r="N34" s="29"/>
      <c r="O34" s="29"/>
      <c r="P34" s="29"/>
      <c r="Q34" s="31"/>
    </row>
    <row r="35" spans="1:17" x14ac:dyDescent="0.3">
      <c r="A35" s="29"/>
      <c r="B35" s="29"/>
      <c r="C35" s="29"/>
      <c r="D35" s="29"/>
      <c r="E35" s="29"/>
      <c r="F35" s="29"/>
      <c r="G35" s="29"/>
      <c r="H35" s="29"/>
      <c r="I35" s="29"/>
      <c r="J35" s="29"/>
      <c r="K35" s="29"/>
      <c r="L35" s="29"/>
      <c r="M35" s="29"/>
      <c r="N35" s="29"/>
      <c r="O35" s="29"/>
      <c r="P35" s="29"/>
      <c r="Q35" s="31"/>
    </row>
    <row r="36" spans="1:17" x14ac:dyDescent="0.3">
      <c r="A36" s="29"/>
      <c r="B36" s="29"/>
      <c r="C36" s="29"/>
      <c r="D36" s="29"/>
      <c r="E36" s="29"/>
      <c r="F36" s="29"/>
      <c r="G36" s="29"/>
      <c r="H36" s="29"/>
      <c r="I36" s="29"/>
      <c r="J36" s="29"/>
      <c r="K36" s="29"/>
      <c r="L36" s="29"/>
      <c r="M36" s="29"/>
      <c r="N36" s="29"/>
      <c r="O36" s="29"/>
      <c r="P36" s="29"/>
      <c r="Q36" s="31"/>
    </row>
    <row r="37" spans="1:17" x14ac:dyDescent="0.3">
      <c r="A37" s="29"/>
      <c r="B37" s="29"/>
      <c r="C37" s="29"/>
      <c r="D37" s="29"/>
      <c r="E37" s="29"/>
      <c r="F37" s="29"/>
      <c r="G37" s="29"/>
      <c r="H37" s="29"/>
      <c r="I37" s="29"/>
      <c r="J37" s="29"/>
      <c r="K37" s="29"/>
      <c r="L37" s="29"/>
      <c r="M37" s="29"/>
      <c r="N37" s="29"/>
      <c r="O37" s="29"/>
      <c r="P37" s="29"/>
      <c r="Q37" s="31"/>
    </row>
    <row r="38" spans="1:17" x14ac:dyDescent="0.3">
      <c r="A38" s="29"/>
      <c r="B38" s="29"/>
      <c r="C38" s="29"/>
      <c r="D38" s="29"/>
      <c r="E38" s="29"/>
      <c r="F38" s="29"/>
      <c r="G38" s="29"/>
      <c r="H38" s="29"/>
      <c r="I38" s="29"/>
      <c r="J38" s="29"/>
      <c r="K38" s="29"/>
      <c r="L38" s="29"/>
      <c r="M38" s="29"/>
      <c r="N38" s="29"/>
      <c r="O38" s="29"/>
      <c r="P38" s="29"/>
      <c r="Q38" s="31"/>
    </row>
    <row r="39" spans="1:17" x14ac:dyDescent="0.3">
      <c r="A39" s="29"/>
      <c r="B39" s="29"/>
      <c r="C39" s="29"/>
      <c r="D39" s="29"/>
      <c r="E39" s="29"/>
      <c r="F39" s="29"/>
      <c r="G39" s="29"/>
      <c r="H39" s="29"/>
      <c r="I39" s="29"/>
      <c r="J39" s="29"/>
      <c r="K39" s="29"/>
      <c r="L39" s="29"/>
      <c r="M39" s="29"/>
      <c r="N39" s="29"/>
      <c r="O39" s="29"/>
      <c r="P39" s="29"/>
      <c r="Q39" s="31"/>
    </row>
    <row r="40" spans="1:17" x14ac:dyDescent="0.3">
      <c r="A40" s="29"/>
      <c r="B40" s="29"/>
      <c r="C40" s="29"/>
      <c r="D40" s="29"/>
      <c r="E40" s="29"/>
      <c r="F40" s="29"/>
      <c r="G40" s="29"/>
      <c r="H40" s="29"/>
      <c r="I40" s="29"/>
      <c r="J40" s="29"/>
      <c r="K40" s="29"/>
      <c r="L40" s="29"/>
      <c r="M40" s="29"/>
      <c r="N40" s="29"/>
      <c r="O40" s="29"/>
      <c r="P40" s="29"/>
      <c r="Q40" s="31"/>
    </row>
    <row r="41" spans="1:17" x14ac:dyDescent="0.3">
      <c r="A41" s="29"/>
      <c r="B41" s="29"/>
      <c r="C41" s="29"/>
      <c r="D41" s="29"/>
      <c r="E41" s="29"/>
      <c r="F41" s="29"/>
      <c r="G41" s="29"/>
      <c r="H41" s="29"/>
      <c r="I41" s="29"/>
      <c r="J41" s="29"/>
      <c r="K41" s="29"/>
      <c r="L41" s="29"/>
      <c r="M41" s="29"/>
      <c r="N41" s="29"/>
      <c r="O41" s="29"/>
      <c r="P41" s="29"/>
      <c r="Q41"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zoomScale="36" zoomScaleNormal="85" workbookViewId="0">
      <selection activeCell="F23" sqref="F23"/>
    </sheetView>
  </sheetViews>
  <sheetFormatPr defaultRowHeight="14.4" x14ac:dyDescent="0.3"/>
  <cols>
    <col min="1" max="1" width="16.33203125" customWidth="1"/>
    <col min="2" max="2" width="12.88671875" bestFit="1" customWidth="1"/>
    <col min="3" max="3" width="16.109375" customWidth="1"/>
    <col min="4" max="4" width="13.88671875" customWidth="1"/>
    <col min="5" max="5" width="13" customWidth="1"/>
    <col min="6" max="6" width="27.33203125" customWidth="1"/>
    <col min="7" max="7" width="8.44140625" customWidth="1"/>
    <col min="8" max="8" width="8.5546875" customWidth="1"/>
    <col min="9" max="9" width="10.88671875" customWidth="1"/>
    <col min="10" max="10" width="19" customWidth="1"/>
    <col min="11" max="11" width="9.5546875" bestFit="1" customWidth="1"/>
    <col min="12" max="12" width="10.44140625" customWidth="1"/>
    <col min="13" max="13" width="10.5546875" customWidth="1"/>
    <col min="14" max="14" width="8.5546875" customWidth="1"/>
    <col min="15" max="15" width="12.5546875" customWidth="1"/>
    <col min="16" max="16" width="20.5546875" customWidth="1"/>
  </cols>
  <sheetData>
    <row r="1" spans="1:16" ht="18" x14ac:dyDescent="0.3">
      <c r="A1" s="24" t="s">
        <v>0</v>
      </c>
      <c r="B1" s="25" t="s">
        <v>1</v>
      </c>
      <c r="C1" s="25" t="s">
        <v>2</v>
      </c>
      <c r="D1" s="25" t="s">
        <v>3</v>
      </c>
      <c r="E1" s="26" t="s">
        <v>4</v>
      </c>
      <c r="F1" s="26" t="s">
        <v>5</v>
      </c>
      <c r="G1" s="26" t="s">
        <v>6</v>
      </c>
      <c r="H1" s="26" t="s">
        <v>7</v>
      </c>
      <c r="I1" s="26" t="s">
        <v>8</v>
      </c>
      <c r="J1" s="27" t="s">
        <v>9</v>
      </c>
      <c r="K1" s="27" t="s">
        <v>10</v>
      </c>
      <c r="L1" s="27" t="s">
        <v>11</v>
      </c>
      <c r="M1" s="27" t="s">
        <v>12</v>
      </c>
      <c r="N1" s="27" t="s">
        <v>13</v>
      </c>
      <c r="O1" s="27" t="s">
        <v>14</v>
      </c>
      <c r="P1" s="25" t="s">
        <v>15</v>
      </c>
    </row>
    <row r="2" spans="1:16" ht="15.6" x14ac:dyDescent="0.3">
      <c r="A2" s="22" t="s">
        <v>16</v>
      </c>
      <c r="B2" s="6" t="s">
        <v>17</v>
      </c>
      <c r="C2" s="6">
        <v>23</v>
      </c>
      <c r="D2" s="7">
        <v>43922</v>
      </c>
      <c r="E2" s="8">
        <v>0.18</v>
      </c>
      <c r="F2" s="6" t="s">
        <v>18</v>
      </c>
      <c r="G2" s="6">
        <v>8</v>
      </c>
      <c r="H2" s="8" t="s">
        <v>19</v>
      </c>
      <c r="I2" s="9">
        <v>2225</v>
      </c>
      <c r="J2" s="10">
        <v>17800</v>
      </c>
      <c r="K2" s="11">
        <v>0</v>
      </c>
      <c r="L2" s="11">
        <v>1602</v>
      </c>
      <c r="M2" s="11">
        <v>1602</v>
      </c>
      <c r="N2" s="11"/>
      <c r="O2" s="11">
        <v>21004</v>
      </c>
      <c r="P2" s="10">
        <v>21004</v>
      </c>
    </row>
    <row r="3" spans="1:16" ht="15.6" x14ac:dyDescent="0.3">
      <c r="A3" s="23" t="s">
        <v>16</v>
      </c>
      <c r="B3" s="12" t="s">
        <v>17</v>
      </c>
      <c r="C3" s="12">
        <v>24</v>
      </c>
      <c r="D3" s="13">
        <v>43986</v>
      </c>
      <c r="E3" s="14">
        <v>0.12</v>
      </c>
      <c r="F3" s="12" t="s">
        <v>20</v>
      </c>
      <c r="G3" s="12">
        <v>2</v>
      </c>
      <c r="H3" s="14" t="s">
        <v>19</v>
      </c>
      <c r="I3" s="15">
        <v>1670</v>
      </c>
      <c r="J3" s="16">
        <v>3340</v>
      </c>
      <c r="K3" s="17">
        <v>0</v>
      </c>
      <c r="L3" s="17">
        <v>200.4</v>
      </c>
      <c r="M3" s="17">
        <v>200.4</v>
      </c>
      <c r="N3" s="17"/>
      <c r="O3" s="17">
        <v>3740.8</v>
      </c>
      <c r="P3" s="16">
        <v>3740.8</v>
      </c>
    </row>
    <row r="4" spans="1:16" ht="15.6" x14ac:dyDescent="0.3">
      <c r="A4" s="22" t="s">
        <v>16</v>
      </c>
      <c r="B4" s="6" t="s">
        <v>17</v>
      </c>
      <c r="C4" s="6">
        <v>25</v>
      </c>
      <c r="D4" s="7">
        <v>44016</v>
      </c>
      <c r="E4" s="8">
        <v>0.03</v>
      </c>
      <c r="F4" s="6" t="s">
        <v>18</v>
      </c>
      <c r="G4" s="6">
        <v>10</v>
      </c>
      <c r="H4" s="8" t="s">
        <v>19</v>
      </c>
      <c r="I4" s="9">
        <v>1115</v>
      </c>
      <c r="J4" s="10">
        <v>11150</v>
      </c>
      <c r="K4" s="11">
        <v>0</v>
      </c>
      <c r="L4" s="11">
        <v>167.25</v>
      </c>
      <c r="M4" s="11">
        <v>167.25</v>
      </c>
      <c r="N4" s="11"/>
      <c r="O4" s="11">
        <v>11484.5</v>
      </c>
      <c r="P4" s="10">
        <v>11484.5</v>
      </c>
    </row>
    <row r="5" spans="1:16" ht="15.6" x14ac:dyDescent="0.3">
      <c r="A5" s="23" t="s">
        <v>16</v>
      </c>
      <c r="B5" s="12" t="s">
        <v>21</v>
      </c>
      <c r="C5" s="12">
        <v>26</v>
      </c>
      <c r="D5" s="13">
        <v>43956</v>
      </c>
      <c r="E5" s="14">
        <v>0</v>
      </c>
      <c r="F5" s="12" t="s">
        <v>20</v>
      </c>
      <c r="G5" s="12">
        <v>3</v>
      </c>
      <c r="H5" s="14" t="s">
        <v>19</v>
      </c>
      <c r="I5" s="15">
        <v>1115</v>
      </c>
      <c r="J5" s="16">
        <v>3345</v>
      </c>
      <c r="K5" s="17">
        <v>0</v>
      </c>
      <c r="L5" s="17">
        <v>0</v>
      </c>
      <c r="M5" s="17">
        <v>0</v>
      </c>
      <c r="N5" s="17"/>
      <c r="O5" s="17">
        <v>3345</v>
      </c>
      <c r="P5" s="16">
        <v>3345</v>
      </c>
    </row>
    <row r="6" spans="1:16" ht="15.6" x14ac:dyDescent="0.3">
      <c r="A6" s="22" t="s">
        <v>16</v>
      </c>
      <c r="B6" s="6" t="s">
        <v>17</v>
      </c>
      <c r="C6" s="6">
        <v>27</v>
      </c>
      <c r="D6" s="7">
        <v>43987</v>
      </c>
      <c r="E6" s="8">
        <v>0.28000000000000003</v>
      </c>
      <c r="F6" s="6" t="s">
        <v>18</v>
      </c>
      <c r="G6" s="6">
        <v>4</v>
      </c>
      <c r="H6" s="8" t="s">
        <v>19</v>
      </c>
      <c r="I6" s="9">
        <v>1115</v>
      </c>
      <c r="J6" s="10">
        <v>4460</v>
      </c>
      <c r="K6" s="11">
        <v>0</v>
      </c>
      <c r="L6" s="11">
        <v>624.40000000000009</v>
      </c>
      <c r="M6" s="11">
        <v>624.40000000000009</v>
      </c>
      <c r="N6" s="11"/>
      <c r="O6" s="11">
        <v>5708.7999999999993</v>
      </c>
      <c r="P6" s="10">
        <v>5708.7999999999993</v>
      </c>
    </row>
    <row r="7" spans="1:16" ht="15.6" x14ac:dyDescent="0.3">
      <c r="A7" s="23" t="s">
        <v>16</v>
      </c>
      <c r="B7" s="12" t="s">
        <v>17</v>
      </c>
      <c r="C7" s="12">
        <v>28</v>
      </c>
      <c r="D7" s="13">
        <v>44017</v>
      </c>
      <c r="E7" s="14">
        <v>0.05</v>
      </c>
      <c r="F7" s="12" t="s">
        <v>20</v>
      </c>
      <c r="G7" s="12">
        <v>24</v>
      </c>
      <c r="H7" s="14" t="s">
        <v>19</v>
      </c>
      <c r="I7" s="15">
        <v>1115</v>
      </c>
      <c r="J7" s="16">
        <v>26760</v>
      </c>
      <c r="K7" s="17">
        <v>0</v>
      </c>
      <c r="L7" s="17">
        <v>669</v>
      </c>
      <c r="M7" s="17">
        <v>669</v>
      </c>
      <c r="N7" s="17"/>
      <c r="O7" s="17">
        <v>28098</v>
      </c>
      <c r="P7" s="16">
        <v>28098</v>
      </c>
    </row>
    <row r="8" spans="1:16" ht="15.6" x14ac:dyDescent="0.3">
      <c r="A8" s="22" t="s">
        <v>16</v>
      </c>
      <c r="B8" s="6" t="s">
        <v>17</v>
      </c>
      <c r="C8" s="6">
        <v>29</v>
      </c>
      <c r="D8" s="7">
        <v>43957</v>
      </c>
      <c r="E8" s="8">
        <v>1E-3</v>
      </c>
      <c r="F8" s="6" t="s">
        <v>18</v>
      </c>
      <c r="G8" s="6">
        <v>30</v>
      </c>
      <c r="H8" s="8" t="s">
        <v>19</v>
      </c>
      <c r="I8" s="9">
        <v>1115</v>
      </c>
      <c r="J8" s="10">
        <v>33450</v>
      </c>
      <c r="K8" s="11">
        <v>0</v>
      </c>
      <c r="L8" s="11">
        <v>16.725000000000001</v>
      </c>
      <c r="M8" s="11">
        <v>16.725000000000001</v>
      </c>
      <c r="N8" s="11"/>
      <c r="O8" s="11">
        <v>33483.449999999997</v>
      </c>
      <c r="P8" s="10">
        <v>33483.449999999997</v>
      </c>
    </row>
    <row r="9" spans="1:16" ht="15.6" x14ac:dyDescent="0.3">
      <c r="A9" s="23" t="s">
        <v>16</v>
      </c>
      <c r="B9" s="12" t="s">
        <v>17</v>
      </c>
      <c r="C9" s="12">
        <v>30</v>
      </c>
      <c r="D9" s="13">
        <v>43988</v>
      </c>
      <c r="E9" s="14">
        <v>0.03</v>
      </c>
      <c r="F9" s="12" t="s">
        <v>20</v>
      </c>
      <c r="G9" s="12">
        <v>12</v>
      </c>
      <c r="H9" s="14" t="s">
        <v>19</v>
      </c>
      <c r="I9" s="15">
        <v>1115</v>
      </c>
      <c r="J9" s="16">
        <v>13380</v>
      </c>
      <c r="K9" s="17">
        <v>0</v>
      </c>
      <c r="L9" s="17">
        <v>200.7</v>
      </c>
      <c r="M9" s="17">
        <v>200.7</v>
      </c>
      <c r="N9" s="17"/>
      <c r="O9" s="17">
        <v>13781.400000000001</v>
      </c>
      <c r="P9" s="16">
        <v>13781.400000000001</v>
      </c>
    </row>
    <row r="10" spans="1:16" ht="15.6" x14ac:dyDescent="0.3">
      <c r="A10" s="22" t="s">
        <v>22</v>
      </c>
      <c r="B10" s="6" t="s">
        <v>17</v>
      </c>
      <c r="C10" s="6">
        <v>31</v>
      </c>
      <c r="D10" s="7">
        <v>44018</v>
      </c>
      <c r="E10" s="8">
        <v>0.18</v>
      </c>
      <c r="F10" s="6" t="s">
        <v>18</v>
      </c>
      <c r="G10" s="6">
        <v>17</v>
      </c>
      <c r="H10" s="8" t="s">
        <v>19</v>
      </c>
      <c r="I10" s="9">
        <v>1115</v>
      </c>
      <c r="J10" s="10">
        <v>18955</v>
      </c>
      <c r="K10" s="11">
        <v>0</v>
      </c>
      <c r="L10" s="11">
        <v>1705.95</v>
      </c>
      <c r="M10" s="11">
        <v>1705.95</v>
      </c>
      <c r="N10" s="11"/>
      <c r="O10" s="11">
        <v>22366.9</v>
      </c>
      <c r="P10" s="10">
        <v>22366.9</v>
      </c>
    </row>
    <row r="11" spans="1:16" ht="15.6" x14ac:dyDescent="0.3">
      <c r="A11" s="23" t="s">
        <v>22</v>
      </c>
      <c r="B11" s="12" t="s">
        <v>17</v>
      </c>
      <c r="C11" s="12">
        <v>32</v>
      </c>
      <c r="D11" s="13">
        <v>43958</v>
      </c>
      <c r="E11" s="14">
        <v>1E-3</v>
      </c>
      <c r="F11" s="12" t="s">
        <v>20</v>
      </c>
      <c r="G11" s="12">
        <v>16</v>
      </c>
      <c r="H11" s="14" t="s">
        <v>19</v>
      </c>
      <c r="I11" s="15">
        <v>1115</v>
      </c>
      <c r="J11" s="16">
        <v>17840</v>
      </c>
      <c r="K11" s="17">
        <v>0</v>
      </c>
      <c r="L11" s="17">
        <v>8.92</v>
      </c>
      <c r="M11" s="17">
        <v>8.92</v>
      </c>
      <c r="N11" s="17"/>
      <c r="O11" s="17">
        <v>17857.839999999997</v>
      </c>
      <c r="P11" s="16">
        <v>17857.839999999997</v>
      </c>
    </row>
    <row r="12" spans="1:16" ht="15.6" x14ac:dyDescent="0.3">
      <c r="A12" s="22" t="s">
        <v>22</v>
      </c>
      <c r="B12" s="6" t="s">
        <v>17</v>
      </c>
      <c r="C12" s="6">
        <v>33</v>
      </c>
      <c r="D12" s="7">
        <v>43989</v>
      </c>
      <c r="E12" s="8">
        <v>0.28000000000000003</v>
      </c>
      <c r="F12" s="6" t="s">
        <v>18</v>
      </c>
      <c r="G12" s="6">
        <v>50</v>
      </c>
      <c r="H12" s="8" t="s">
        <v>19</v>
      </c>
      <c r="I12" s="9">
        <v>1115</v>
      </c>
      <c r="J12" s="10">
        <v>55750</v>
      </c>
      <c r="K12" s="11">
        <v>0</v>
      </c>
      <c r="L12" s="11">
        <v>7805.0000000000009</v>
      </c>
      <c r="M12" s="11">
        <v>7805.0000000000009</v>
      </c>
      <c r="N12" s="11"/>
      <c r="O12" s="11">
        <v>71360</v>
      </c>
      <c r="P12" s="10">
        <v>71360</v>
      </c>
    </row>
    <row r="13" spans="1:16" ht="15.6" x14ac:dyDescent="0.3">
      <c r="A13" s="23" t="s">
        <v>22</v>
      </c>
      <c r="B13" s="12" t="s">
        <v>17</v>
      </c>
      <c r="C13" s="12">
        <v>34</v>
      </c>
      <c r="D13" s="13">
        <v>44019</v>
      </c>
      <c r="E13" s="14">
        <v>0</v>
      </c>
      <c r="F13" s="12" t="s">
        <v>20</v>
      </c>
      <c r="G13" s="12">
        <v>21</v>
      </c>
      <c r="H13" s="14" t="s">
        <v>19</v>
      </c>
      <c r="I13" s="15">
        <v>1115</v>
      </c>
      <c r="J13" s="16">
        <v>23415</v>
      </c>
      <c r="K13" s="17">
        <v>0</v>
      </c>
      <c r="L13" s="17">
        <v>0</v>
      </c>
      <c r="M13" s="17">
        <v>0</v>
      </c>
      <c r="N13" s="17"/>
      <c r="O13" s="17">
        <v>23415</v>
      </c>
      <c r="P13" s="16">
        <v>23415</v>
      </c>
    </row>
    <row r="14" spans="1:16" ht="15.6" x14ac:dyDescent="0.3">
      <c r="A14" s="22" t="s">
        <v>16</v>
      </c>
      <c r="B14" s="6" t="s">
        <v>21</v>
      </c>
      <c r="C14" s="6">
        <v>35</v>
      </c>
      <c r="D14" s="7">
        <v>43959</v>
      </c>
      <c r="E14" s="18">
        <v>0.05</v>
      </c>
      <c r="F14" s="6" t="s">
        <v>18</v>
      </c>
      <c r="G14" s="19">
        <v>25</v>
      </c>
      <c r="H14" s="8" t="s">
        <v>19</v>
      </c>
      <c r="I14" s="9">
        <v>1115</v>
      </c>
      <c r="J14" s="10">
        <v>27875</v>
      </c>
      <c r="K14" s="11">
        <v>1393.75</v>
      </c>
      <c r="L14" s="11">
        <v>0</v>
      </c>
      <c r="M14" s="11">
        <v>0</v>
      </c>
      <c r="N14" s="11"/>
      <c r="O14" s="11">
        <v>29268.75</v>
      </c>
      <c r="P14" s="10">
        <v>29268.75</v>
      </c>
    </row>
    <row r="15" spans="1:16" ht="15.6" x14ac:dyDescent="0.3">
      <c r="A15" s="23" t="s">
        <v>16</v>
      </c>
      <c r="B15" s="12" t="s">
        <v>21</v>
      </c>
      <c r="C15" s="12">
        <v>36</v>
      </c>
      <c r="D15" s="13">
        <v>43990</v>
      </c>
      <c r="E15" s="20">
        <v>0.18</v>
      </c>
      <c r="F15" s="12" t="s">
        <v>20</v>
      </c>
      <c r="G15" s="21">
        <v>42</v>
      </c>
      <c r="H15" s="14" t="s">
        <v>19</v>
      </c>
      <c r="I15" s="15">
        <v>1115</v>
      </c>
      <c r="J15" s="16">
        <v>46830</v>
      </c>
      <c r="K15" s="17">
        <v>8429.4</v>
      </c>
      <c r="L15" s="17">
        <v>0</v>
      </c>
      <c r="M15" s="17">
        <v>0</v>
      </c>
      <c r="N15" s="17"/>
      <c r="O15" s="17">
        <v>55259.4</v>
      </c>
      <c r="P15" s="16">
        <v>55259.4</v>
      </c>
    </row>
    <row r="16" spans="1:16" ht="15.6" x14ac:dyDescent="0.3">
      <c r="A16" s="22" t="s">
        <v>16</v>
      </c>
      <c r="B16" s="6" t="s">
        <v>23</v>
      </c>
      <c r="C16" s="6">
        <v>37</v>
      </c>
      <c r="D16" s="7">
        <v>44020</v>
      </c>
      <c r="E16" s="18">
        <v>1E-3</v>
      </c>
      <c r="F16" s="6" t="s">
        <v>18</v>
      </c>
      <c r="G16" s="19">
        <v>32</v>
      </c>
      <c r="H16" s="8" t="s">
        <v>19</v>
      </c>
      <c r="I16" s="9">
        <v>1115</v>
      </c>
      <c r="J16" s="10">
        <v>35680</v>
      </c>
      <c r="K16" s="11">
        <v>0</v>
      </c>
      <c r="L16" s="11">
        <v>17.84</v>
      </c>
      <c r="M16" s="11">
        <v>17.84</v>
      </c>
      <c r="N16" s="11"/>
      <c r="O16" s="11">
        <v>35715.679999999993</v>
      </c>
      <c r="P16" s="10">
        <v>35715.679999999993</v>
      </c>
    </row>
    <row r="17" spans="1:16" ht="15.6" x14ac:dyDescent="0.3">
      <c r="A17" s="23" t="s">
        <v>16</v>
      </c>
      <c r="B17" s="12" t="s">
        <v>23</v>
      </c>
      <c r="C17" s="12">
        <v>38</v>
      </c>
      <c r="D17" s="13">
        <v>43960</v>
      </c>
      <c r="E17" s="20">
        <v>0</v>
      </c>
      <c r="F17" s="12" t="s">
        <v>20</v>
      </c>
      <c r="G17" s="21">
        <v>10</v>
      </c>
      <c r="H17" s="14" t="s">
        <v>19</v>
      </c>
      <c r="I17" s="15">
        <v>1115</v>
      </c>
      <c r="J17" s="16">
        <v>11150</v>
      </c>
      <c r="K17" s="17">
        <v>0</v>
      </c>
      <c r="L17" s="17">
        <v>0</v>
      </c>
      <c r="M17" s="17">
        <v>0</v>
      </c>
      <c r="N17" s="17"/>
      <c r="O17" s="17">
        <v>11150</v>
      </c>
      <c r="P17" s="16">
        <v>11150</v>
      </c>
    </row>
    <row r="18" spans="1:16" ht="15.6" x14ac:dyDescent="0.3">
      <c r="A18" s="22" t="s">
        <v>16</v>
      </c>
      <c r="B18" s="6" t="s">
        <v>23</v>
      </c>
      <c r="C18" s="6">
        <v>39</v>
      </c>
      <c r="D18" s="7">
        <v>43991</v>
      </c>
      <c r="E18" s="18">
        <v>0.28000000000000003</v>
      </c>
      <c r="F18" s="6" t="s">
        <v>18</v>
      </c>
      <c r="G18" s="19">
        <v>20</v>
      </c>
      <c r="H18" s="8" t="s">
        <v>19</v>
      </c>
      <c r="I18" s="9">
        <v>1115</v>
      </c>
      <c r="J18" s="10">
        <v>22300</v>
      </c>
      <c r="K18" s="11">
        <v>0</v>
      </c>
      <c r="L18" s="11">
        <v>3122.0000000000005</v>
      </c>
      <c r="M18" s="11">
        <v>3122.0000000000005</v>
      </c>
      <c r="N18" s="11"/>
      <c r="O18" s="11">
        <v>28544</v>
      </c>
      <c r="P18" s="10">
        <v>28544</v>
      </c>
    </row>
    <row r="19" spans="1:16" ht="15.6" x14ac:dyDescent="0.3">
      <c r="A19" s="23" t="s">
        <v>22</v>
      </c>
      <c r="B19" s="12" t="s">
        <v>23</v>
      </c>
      <c r="C19" s="12">
        <v>40</v>
      </c>
      <c r="D19" s="13">
        <v>44021</v>
      </c>
      <c r="E19" s="20">
        <v>0.12</v>
      </c>
      <c r="F19" s="12" t="s">
        <v>20</v>
      </c>
      <c r="G19" s="21">
        <v>30</v>
      </c>
      <c r="H19" s="14" t="s">
        <v>19</v>
      </c>
      <c r="I19" s="15">
        <v>1115</v>
      </c>
      <c r="J19" s="16">
        <v>33450</v>
      </c>
      <c r="K19" s="17">
        <v>0</v>
      </c>
      <c r="L19" s="17">
        <v>2007</v>
      </c>
      <c r="M19" s="17">
        <v>2007</v>
      </c>
      <c r="N19" s="17"/>
      <c r="O19" s="17">
        <v>37464</v>
      </c>
      <c r="P19" s="16">
        <v>37464</v>
      </c>
    </row>
    <row r="20" spans="1:16" ht="15.6" x14ac:dyDescent="0.3">
      <c r="A20" s="22" t="s">
        <v>22</v>
      </c>
      <c r="B20" s="6" t="s">
        <v>21</v>
      </c>
      <c r="C20" s="6">
        <v>41</v>
      </c>
      <c r="D20" s="7">
        <v>43961</v>
      </c>
      <c r="E20" s="18">
        <v>0.03</v>
      </c>
      <c r="F20" s="6" t="s">
        <v>18</v>
      </c>
      <c r="G20" s="19">
        <v>45</v>
      </c>
      <c r="H20" s="8" t="s">
        <v>19</v>
      </c>
      <c r="I20" s="9">
        <v>1115</v>
      </c>
      <c r="J20" s="10">
        <v>50175</v>
      </c>
      <c r="K20" s="11">
        <v>1505.25</v>
      </c>
      <c r="L20" s="11">
        <v>0</v>
      </c>
      <c r="M20" s="11">
        <v>0</v>
      </c>
      <c r="N20" s="11"/>
      <c r="O20" s="11">
        <v>51680.25</v>
      </c>
      <c r="P20" s="10">
        <v>51680.25</v>
      </c>
    </row>
    <row r="21" spans="1:16" ht="15.6" x14ac:dyDescent="0.3">
      <c r="A21" s="23" t="s">
        <v>22</v>
      </c>
      <c r="B21" s="12" t="s">
        <v>23</v>
      </c>
      <c r="C21" s="12">
        <v>42</v>
      </c>
      <c r="D21" s="13">
        <v>43992</v>
      </c>
      <c r="E21" s="20">
        <v>0.05</v>
      </c>
      <c r="F21" s="12" t="s">
        <v>20</v>
      </c>
      <c r="G21" s="21">
        <v>62</v>
      </c>
      <c r="H21" s="14" t="s">
        <v>19</v>
      </c>
      <c r="I21" s="15">
        <v>1115</v>
      </c>
      <c r="J21" s="16">
        <v>69130</v>
      </c>
      <c r="K21" s="17">
        <v>0</v>
      </c>
      <c r="L21" s="17">
        <v>1728.25</v>
      </c>
      <c r="M21" s="17">
        <v>1728.25</v>
      </c>
      <c r="N21" s="17"/>
      <c r="O21" s="17">
        <v>72586.5</v>
      </c>
      <c r="P21" s="16">
        <v>72586.5</v>
      </c>
    </row>
    <row r="22" spans="1:16" ht="15.6" x14ac:dyDescent="0.3">
      <c r="A22" s="22" t="s">
        <v>22</v>
      </c>
      <c r="B22" s="6" t="s">
        <v>23</v>
      </c>
      <c r="C22" s="6">
        <v>43</v>
      </c>
      <c r="D22" s="7">
        <v>44022</v>
      </c>
      <c r="E22" s="18">
        <v>0</v>
      </c>
      <c r="F22" s="6" t="s">
        <v>18</v>
      </c>
      <c r="G22" s="19">
        <v>12</v>
      </c>
      <c r="H22" s="8" t="s">
        <v>19</v>
      </c>
      <c r="I22" s="9">
        <v>1115</v>
      </c>
      <c r="J22" s="10">
        <v>13380</v>
      </c>
      <c r="K22" s="11">
        <v>0</v>
      </c>
      <c r="L22" s="11">
        <v>0</v>
      </c>
      <c r="M22" s="11">
        <v>0</v>
      </c>
      <c r="N22" s="11"/>
      <c r="O22" s="11">
        <v>13380</v>
      </c>
      <c r="P22" s="10">
        <v>13380</v>
      </c>
    </row>
    <row r="23" spans="1:16" ht="15.6" x14ac:dyDescent="0.3">
      <c r="A23" s="23" t="s">
        <v>22</v>
      </c>
      <c r="B23" s="12" t="s">
        <v>23</v>
      </c>
      <c r="C23" s="12">
        <v>44</v>
      </c>
      <c r="D23" s="13">
        <v>43962</v>
      </c>
      <c r="E23" s="20">
        <v>0</v>
      </c>
      <c r="F23" s="12" t="s">
        <v>20</v>
      </c>
      <c r="G23" s="21">
        <v>25</v>
      </c>
      <c r="H23" s="14" t="s">
        <v>19</v>
      </c>
      <c r="I23" s="15">
        <v>1115</v>
      </c>
      <c r="J23" s="16">
        <v>27875</v>
      </c>
      <c r="K23" s="17">
        <v>0</v>
      </c>
      <c r="L23" s="17">
        <v>0</v>
      </c>
      <c r="M23" s="17">
        <v>0</v>
      </c>
      <c r="N23" s="17"/>
      <c r="O23" s="17">
        <v>27875</v>
      </c>
      <c r="P23" s="16">
        <v>27875</v>
      </c>
    </row>
    <row r="24" spans="1:16" ht="15.6" x14ac:dyDescent="0.3">
      <c r="A24" s="22" t="s">
        <v>22</v>
      </c>
      <c r="B24" s="6" t="s">
        <v>23</v>
      </c>
      <c r="C24" s="6">
        <v>45</v>
      </c>
      <c r="D24" s="7">
        <v>43993</v>
      </c>
      <c r="E24" s="18">
        <v>0.12</v>
      </c>
      <c r="F24" s="6" t="s">
        <v>18</v>
      </c>
      <c r="G24" s="19">
        <v>45</v>
      </c>
      <c r="H24" s="8" t="s">
        <v>19</v>
      </c>
      <c r="I24" s="9">
        <v>1115</v>
      </c>
      <c r="J24" s="10">
        <v>50175</v>
      </c>
      <c r="K24" s="11">
        <v>0</v>
      </c>
      <c r="L24" s="11">
        <v>3010.5</v>
      </c>
      <c r="M24" s="11">
        <v>3010.5</v>
      </c>
      <c r="N24" s="11"/>
      <c r="O24" s="11">
        <v>56196</v>
      </c>
      <c r="P24" s="10">
        <v>56196</v>
      </c>
    </row>
    <row r="25" spans="1:16" ht="15.6" x14ac:dyDescent="0.3">
      <c r="A25" s="23" t="s">
        <v>22</v>
      </c>
      <c r="B25" s="12" t="s">
        <v>23</v>
      </c>
      <c r="C25" s="12">
        <v>46</v>
      </c>
      <c r="D25" s="13">
        <v>44023</v>
      </c>
      <c r="E25" s="20">
        <v>0.12</v>
      </c>
      <c r="F25" s="12" t="s">
        <v>20</v>
      </c>
      <c r="G25" s="21">
        <v>20</v>
      </c>
      <c r="H25" s="14" t="s">
        <v>19</v>
      </c>
      <c r="I25" s="15">
        <v>1115</v>
      </c>
      <c r="J25" s="16">
        <v>22300</v>
      </c>
      <c r="K25" s="17">
        <v>0</v>
      </c>
      <c r="L25" s="17">
        <v>1338</v>
      </c>
      <c r="M25" s="17">
        <v>1338</v>
      </c>
      <c r="N25" s="17"/>
      <c r="O25" s="17">
        <v>24976</v>
      </c>
      <c r="P25" s="16">
        <v>24976</v>
      </c>
    </row>
    <row r="26" spans="1:16" ht="15.6" x14ac:dyDescent="0.3">
      <c r="A26" s="22" t="s">
        <v>22</v>
      </c>
      <c r="B26" s="6" t="s">
        <v>23</v>
      </c>
      <c r="C26" s="6">
        <v>47</v>
      </c>
      <c r="D26" s="7">
        <v>43963</v>
      </c>
      <c r="E26" s="18">
        <v>0.03</v>
      </c>
      <c r="F26" s="6" t="s">
        <v>18</v>
      </c>
      <c r="G26" s="19">
        <v>10</v>
      </c>
      <c r="H26" s="8" t="s">
        <v>19</v>
      </c>
      <c r="I26" s="9">
        <v>1115</v>
      </c>
      <c r="J26" s="10">
        <v>11150</v>
      </c>
      <c r="K26" s="11">
        <v>0</v>
      </c>
      <c r="L26" s="11">
        <v>167.25</v>
      </c>
      <c r="M26" s="11">
        <v>167.25</v>
      </c>
      <c r="N26" s="11"/>
      <c r="O26" s="11">
        <v>11484.5</v>
      </c>
      <c r="P26" s="10">
        <v>11484.5</v>
      </c>
    </row>
    <row r="27" spans="1:16" ht="15.6" x14ac:dyDescent="0.3">
      <c r="A27" s="23" t="s">
        <v>16</v>
      </c>
      <c r="B27" s="12" t="s">
        <v>23</v>
      </c>
      <c r="C27" s="12">
        <v>48</v>
      </c>
      <c r="D27" s="13">
        <v>43994</v>
      </c>
      <c r="E27" s="20">
        <v>0.28000000000000003</v>
      </c>
      <c r="F27" s="12" t="s">
        <v>20</v>
      </c>
      <c r="G27" s="21">
        <v>35</v>
      </c>
      <c r="H27" s="14" t="s">
        <v>19</v>
      </c>
      <c r="I27" s="15">
        <v>1115</v>
      </c>
      <c r="J27" s="16">
        <v>39025</v>
      </c>
      <c r="K27" s="17">
        <v>0</v>
      </c>
      <c r="L27" s="17">
        <v>5463.5000000000009</v>
      </c>
      <c r="M27" s="17">
        <v>5463.5000000000009</v>
      </c>
      <c r="N27" s="17"/>
      <c r="O27" s="17">
        <v>49952</v>
      </c>
      <c r="P27" s="16">
        <v>49952</v>
      </c>
    </row>
    <row r="28" spans="1:16" ht="15.6" x14ac:dyDescent="0.3">
      <c r="A28" s="22" t="s">
        <v>16</v>
      </c>
      <c r="B28" s="6" t="s">
        <v>23</v>
      </c>
      <c r="C28" s="6">
        <v>49</v>
      </c>
      <c r="D28" s="7">
        <v>44024</v>
      </c>
      <c r="E28" s="18">
        <v>0.12</v>
      </c>
      <c r="F28" s="6" t="s">
        <v>18</v>
      </c>
      <c r="G28" s="19">
        <v>15</v>
      </c>
      <c r="H28" s="8" t="s">
        <v>19</v>
      </c>
      <c r="I28" s="9">
        <v>1115</v>
      </c>
      <c r="J28" s="10">
        <v>16725</v>
      </c>
      <c r="K28" s="11">
        <v>0</v>
      </c>
      <c r="L28" s="11">
        <v>1003.5</v>
      </c>
      <c r="M28" s="11">
        <v>1003.5</v>
      </c>
      <c r="N28" s="11"/>
      <c r="O28" s="11">
        <v>18732</v>
      </c>
      <c r="P28" s="10">
        <v>18732</v>
      </c>
    </row>
    <row r="29" spans="1:16" ht="15.6" x14ac:dyDescent="0.3">
      <c r="A29" s="23" t="s">
        <v>16</v>
      </c>
      <c r="B29" s="12" t="s">
        <v>23</v>
      </c>
      <c r="C29" s="12">
        <v>50</v>
      </c>
      <c r="D29" s="13">
        <v>44317</v>
      </c>
      <c r="E29" s="20">
        <v>0.03</v>
      </c>
      <c r="F29" s="12" t="s">
        <v>20</v>
      </c>
      <c r="G29" s="21">
        <v>25</v>
      </c>
      <c r="H29" s="14" t="s">
        <v>19</v>
      </c>
      <c r="I29" s="15">
        <v>1115</v>
      </c>
      <c r="J29" s="16">
        <v>27875</v>
      </c>
      <c r="K29" s="17">
        <v>0</v>
      </c>
      <c r="L29" s="17">
        <v>418.125</v>
      </c>
      <c r="M29" s="17">
        <v>418.125</v>
      </c>
      <c r="N29" s="17"/>
      <c r="O29" s="17">
        <v>28711.25</v>
      </c>
      <c r="P29" s="16">
        <v>28711.25</v>
      </c>
    </row>
    <row r="30" spans="1:16" ht="15.6" x14ac:dyDescent="0.3">
      <c r="A30" s="22" t="s">
        <v>16</v>
      </c>
      <c r="B30" s="6" t="s">
        <v>23</v>
      </c>
      <c r="C30" s="6">
        <v>51</v>
      </c>
      <c r="D30" s="7">
        <v>44348</v>
      </c>
      <c r="E30" s="18">
        <v>0.28000000000000003</v>
      </c>
      <c r="F30" s="6" t="s">
        <v>18</v>
      </c>
      <c r="G30" s="19">
        <v>10</v>
      </c>
      <c r="H30" s="8" t="s">
        <v>19</v>
      </c>
      <c r="I30" s="9">
        <v>1115</v>
      </c>
      <c r="J30" s="10">
        <v>11150</v>
      </c>
      <c r="K30" s="11">
        <v>0</v>
      </c>
      <c r="L30" s="11">
        <v>1561.0000000000002</v>
      </c>
      <c r="M30" s="11">
        <v>1561.0000000000002</v>
      </c>
      <c r="N30" s="11"/>
      <c r="O30" s="11">
        <v>14272</v>
      </c>
      <c r="P30" s="10">
        <v>14272</v>
      </c>
    </row>
    <row r="31" spans="1:16" ht="15.6" x14ac:dyDescent="0.3">
      <c r="A31" s="23" t="s">
        <v>16</v>
      </c>
      <c r="B31" s="12" t="s">
        <v>23</v>
      </c>
      <c r="C31" s="12">
        <v>52</v>
      </c>
      <c r="D31" s="13">
        <v>44378</v>
      </c>
      <c r="E31" s="20">
        <v>0.05</v>
      </c>
      <c r="F31" s="12" t="s">
        <v>20</v>
      </c>
      <c r="G31" s="21">
        <v>5</v>
      </c>
      <c r="H31" s="14" t="s">
        <v>19</v>
      </c>
      <c r="I31" s="15">
        <v>1115</v>
      </c>
      <c r="J31" s="16">
        <v>5575</v>
      </c>
      <c r="K31" s="17">
        <v>0</v>
      </c>
      <c r="L31" s="17">
        <v>139.375</v>
      </c>
      <c r="M31" s="17">
        <v>139.375</v>
      </c>
      <c r="N31" s="17"/>
      <c r="O31" s="17">
        <v>5853.75</v>
      </c>
      <c r="P31" s="16">
        <v>5853.75</v>
      </c>
    </row>
    <row r="32" spans="1:16" ht="15.6" x14ac:dyDescent="0.3">
      <c r="A32" s="22" t="s">
        <v>22</v>
      </c>
      <c r="B32" s="6" t="s">
        <v>23</v>
      </c>
      <c r="C32" s="6">
        <v>53</v>
      </c>
      <c r="D32" s="7">
        <v>44318</v>
      </c>
      <c r="E32" s="18">
        <v>0.03</v>
      </c>
      <c r="F32" s="6" t="s">
        <v>18</v>
      </c>
      <c r="G32" s="19">
        <v>8</v>
      </c>
      <c r="H32" s="8" t="s">
        <v>19</v>
      </c>
      <c r="I32" s="9">
        <v>1115</v>
      </c>
      <c r="J32" s="10">
        <v>8920</v>
      </c>
      <c r="K32" s="11">
        <v>0</v>
      </c>
      <c r="L32" s="11">
        <v>133.79999999999998</v>
      </c>
      <c r="M32" s="11">
        <v>133.79999999999998</v>
      </c>
      <c r="N32" s="11"/>
      <c r="O32" s="11">
        <v>9187.5999999999985</v>
      </c>
      <c r="P32" s="10">
        <v>9187.5999999999985</v>
      </c>
    </row>
    <row r="33" spans="1:16" ht="15.6" x14ac:dyDescent="0.3">
      <c r="A33" s="23" t="s">
        <v>22</v>
      </c>
      <c r="B33" s="12" t="s">
        <v>23</v>
      </c>
      <c r="C33" s="12">
        <v>54</v>
      </c>
      <c r="D33" s="13">
        <v>44349</v>
      </c>
      <c r="E33" s="20">
        <v>0.05</v>
      </c>
      <c r="F33" s="12" t="s">
        <v>20</v>
      </c>
      <c r="G33" s="21">
        <v>10</v>
      </c>
      <c r="H33" s="14" t="s">
        <v>19</v>
      </c>
      <c r="I33" s="15">
        <v>1115</v>
      </c>
      <c r="J33" s="16">
        <v>11150</v>
      </c>
      <c r="K33" s="17">
        <v>0</v>
      </c>
      <c r="L33" s="17">
        <v>278.75</v>
      </c>
      <c r="M33" s="17">
        <v>278.75</v>
      </c>
      <c r="N33" s="17"/>
      <c r="O33" s="17">
        <v>11707.5</v>
      </c>
      <c r="P33" s="16">
        <v>11707.5</v>
      </c>
    </row>
    <row r="34" spans="1:16" ht="15.6" x14ac:dyDescent="0.3">
      <c r="A34" s="22" t="s">
        <v>22</v>
      </c>
      <c r="B34" s="6" t="s">
        <v>23</v>
      </c>
      <c r="C34" s="6">
        <v>55</v>
      </c>
      <c r="D34" s="7">
        <v>44379</v>
      </c>
      <c r="E34" s="18">
        <v>0.05</v>
      </c>
      <c r="F34" s="6" t="s">
        <v>18</v>
      </c>
      <c r="G34" s="19">
        <v>2</v>
      </c>
      <c r="H34" s="8" t="s">
        <v>19</v>
      </c>
      <c r="I34" s="9">
        <v>1115</v>
      </c>
      <c r="J34" s="10">
        <v>2230</v>
      </c>
      <c r="K34" s="11">
        <v>0</v>
      </c>
      <c r="L34" s="11">
        <v>55.75</v>
      </c>
      <c r="M34" s="11">
        <v>55.75</v>
      </c>
      <c r="N34" s="11"/>
      <c r="O34" s="11">
        <v>2341.5</v>
      </c>
      <c r="P34" s="10">
        <v>2341.5</v>
      </c>
    </row>
    <row r="35" spans="1:16" ht="15.6" x14ac:dyDescent="0.3">
      <c r="A35" s="23" t="s">
        <v>22</v>
      </c>
      <c r="B35" s="12" t="s">
        <v>23</v>
      </c>
      <c r="C35" s="12">
        <v>56</v>
      </c>
      <c r="D35" s="13">
        <v>44319</v>
      </c>
      <c r="E35" s="20">
        <v>0.28000000000000003</v>
      </c>
      <c r="F35" s="12" t="s">
        <v>20</v>
      </c>
      <c r="G35" s="21">
        <v>4</v>
      </c>
      <c r="H35" s="14" t="s">
        <v>19</v>
      </c>
      <c r="I35" s="15">
        <v>1115</v>
      </c>
      <c r="J35" s="16">
        <v>4460</v>
      </c>
      <c r="K35" s="17">
        <v>0</v>
      </c>
      <c r="L35" s="17">
        <v>624.40000000000009</v>
      </c>
      <c r="M35" s="17">
        <v>624.40000000000009</v>
      </c>
      <c r="N35" s="17"/>
      <c r="O35" s="17">
        <v>5708.7999999999993</v>
      </c>
      <c r="P35" s="16">
        <v>5708.7999999999993</v>
      </c>
    </row>
    <row r="36" spans="1:16" ht="15.6" x14ac:dyDescent="0.3">
      <c r="A36" s="22" t="s">
        <v>16</v>
      </c>
      <c r="B36" s="6" t="s">
        <v>23</v>
      </c>
      <c r="C36" s="6">
        <v>57</v>
      </c>
      <c r="D36" s="7">
        <v>44350</v>
      </c>
      <c r="E36" s="18">
        <v>1E-3</v>
      </c>
      <c r="F36" s="6" t="s">
        <v>18</v>
      </c>
      <c r="G36" s="19">
        <v>6</v>
      </c>
      <c r="H36" s="8" t="s">
        <v>19</v>
      </c>
      <c r="I36" s="9">
        <v>1115</v>
      </c>
      <c r="J36" s="10">
        <v>6690</v>
      </c>
      <c r="K36" s="11">
        <v>0</v>
      </c>
      <c r="L36" s="11">
        <v>3.3450000000000002</v>
      </c>
      <c r="M36" s="11">
        <v>3.3450000000000002</v>
      </c>
      <c r="N36" s="11"/>
      <c r="O36" s="11">
        <v>6696.6900000000005</v>
      </c>
      <c r="P36" s="10">
        <v>6696.6900000000005</v>
      </c>
    </row>
    <row r="37" spans="1:16" ht="15.6" x14ac:dyDescent="0.3">
      <c r="A37" s="23" t="s">
        <v>16</v>
      </c>
      <c r="B37" s="12" t="s">
        <v>23</v>
      </c>
      <c r="C37" s="12">
        <v>58</v>
      </c>
      <c r="D37" s="13">
        <v>44380</v>
      </c>
      <c r="E37" s="20">
        <v>0</v>
      </c>
      <c r="F37" s="12" t="s">
        <v>20</v>
      </c>
      <c r="G37" s="21">
        <v>5</v>
      </c>
      <c r="H37" s="14" t="s">
        <v>19</v>
      </c>
      <c r="I37" s="15">
        <v>1115</v>
      </c>
      <c r="J37" s="16">
        <v>5575</v>
      </c>
      <c r="K37" s="17">
        <v>0</v>
      </c>
      <c r="L37" s="17">
        <v>0</v>
      </c>
      <c r="M37" s="17">
        <v>0</v>
      </c>
      <c r="N37" s="17"/>
      <c r="O37" s="17">
        <v>5575</v>
      </c>
      <c r="P37" s="16">
        <v>5575</v>
      </c>
    </row>
  </sheetData>
  <conditionalFormatting sqref="A10:A13 A19:A26 A32:A35">
    <cfRule type="expression" dxfId="12" priority="9">
      <formula>IF(ISBLANK(#REF!), 0, SEARCH(#REF!,$A10&amp;#REF!&amp;$B4&amp;$C4&amp;#REF!&amp;$J4))</formula>
    </cfRule>
  </conditionalFormatting>
  <conditionalFormatting sqref="A12:A13">
    <cfRule type="expression" dxfId="11" priority="6">
      <formula>IF(ISBLANK(#REF!), 0, SEARCH(#REF!,$A12&amp;#REF!&amp;$B6&amp;$C6&amp;#REF!&amp;$E6))</formula>
    </cfRule>
  </conditionalFormatting>
  <conditionalFormatting sqref="A21:A22 A25:A26 A34:A35">
    <cfRule type="expression" dxfId="10" priority="13">
      <formula>IF(ISBLANK(#REF!), 0, SEARCH(#REF!,$A21&amp;#REF!&amp;$B15&amp;$C15&amp;#REF!&amp;$E15))</formula>
    </cfRule>
  </conditionalFormatting>
  <conditionalFormatting sqref="B14:B37 E16:E37 G16:G37 J16:J37">
    <cfRule type="expression" dxfId="9" priority="2">
      <formula>IF(ISBLANK(#REF!), 0, SEARCH(#REF!,$A14&amp;#REF!&amp;$B14&amp;$D14&amp;#REF!&amp;$J14))</formula>
    </cfRule>
  </conditionalFormatting>
  <conditionalFormatting sqref="B16:B37 E16:E37 G16:G37 J16:J37">
    <cfRule type="expression" dxfId="8" priority="1">
      <formula>IF(ISBLANK(#REF!), 0, SEARCH(#REF!,$A16&amp;#REF!&amp;$B16&amp;$D16&amp;#REF!&amp;$E16))</formula>
    </cfRule>
  </conditionalFormatting>
  <conditionalFormatting sqref="C2:C3 E2:J3 A4:A9 B4:C13 F4:F37 H4:I37 C14:C37">
    <cfRule type="expression" dxfId="7" priority="5">
      <formula>IF(ISBLANK(#REF!), 0, SEARCH(#REF!,$A2&amp;#REF!&amp;$B2&amp;$C2&amp;#REF!&amp;$J2))</formula>
    </cfRule>
  </conditionalFormatting>
  <conditionalFormatting sqref="D2:D37 A16:A18 A29:A31 A37">
    <cfRule type="expression" dxfId="6" priority="12">
      <formula>IF(ISBLANK(#REF!), 0, SEARCH(#REF!,$A2&amp;#REF!&amp;$B2&amp;$C2&amp;#REF!&amp;$J2))</formula>
    </cfRule>
  </conditionalFormatting>
  <conditionalFormatting sqref="E4:E9 G4:G9 J4:J9">
    <cfRule type="expression" dxfId="5" priority="10">
      <formula>IF(ISBLANK(#REF!), 0, SEARCH(#REF!,$A10&amp;#REF!&amp;$B4&amp;$C4&amp;#REF!&amp;$J4))</formula>
    </cfRule>
  </conditionalFormatting>
  <conditionalFormatting sqref="E6:E9 G6:G9 J6:J9">
    <cfRule type="expression" dxfId="4" priority="7">
      <formula>IF(ISBLANK(#REF!), 0, SEARCH(#REF!,$A12&amp;#REF!&amp;$B6&amp;$C6&amp;#REF!&amp;$E6))</formula>
    </cfRule>
  </conditionalFormatting>
  <conditionalFormatting sqref="E10:E13 G10:G13 J10:J13">
    <cfRule type="expression" dxfId="3" priority="8">
      <formula>IF(ISBLANK(#REF!), 0, SEARCH(#REF!,#REF!&amp;#REF!&amp;$B10&amp;$C10&amp;#REF!&amp;$E10))</formula>
    </cfRule>
    <cfRule type="expression" dxfId="2" priority="11">
      <formula>IF(ISBLANK(#REF!), 0, SEARCH(#REF!,#REF!&amp;#REF!&amp;$B10&amp;$C10&amp;#REF!&amp;$J10))</formula>
    </cfRule>
  </conditionalFormatting>
  <conditionalFormatting sqref="E14:E15 G14:G15 J14:J15">
    <cfRule type="expression" dxfId="1" priority="3">
      <formula>IF(ISBLANK(#REF!), 0, SEARCH(#REF!,#REF!&amp;#REF!&amp;$B14&amp;$D14&amp;#REF!&amp;$E14))</formula>
    </cfRule>
    <cfRule type="expression" dxfId="0"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G11" sqref="G11"/>
    </sheetView>
  </sheetViews>
  <sheetFormatPr defaultRowHeight="14.4" x14ac:dyDescent="0.3"/>
  <cols>
    <col min="2" max="2" width="20.33203125" bestFit="1" customWidth="1"/>
    <col min="3" max="3" width="17.88671875" bestFit="1" customWidth="1"/>
  </cols>
  <sheetData>
    <row r="2" spans="2:3" ht="21" x14ac:dyDescent="0.4">
      <c r="B2" s="5" t="s">
        <v>35</v>
      </c>
      <c r="C2" s="5" t="s">
        <v>40</v>
      </c>
    </row>
    <row r="3" spans="2:3" ht="21" x14ac:dyDescent="0.4">
      <c r="B3" s="5" t="s">
        <v>36</v>
      </c>
      <c r="C3" s="5" t="s">
        <v>41</v>
      </c>
    </row>
    <row r="4" spans="2:3" ht="21" x14ac:dyDescent="0.4">
      <c r="B4" s="5" t="s">
        <v>37</v>
      </c>
      <c r="C4" s="5" t="s">
        <v>42</v>
      </c>
    </row>
    <row r="5" spans="2:3" ht="21" x14ac:dyDescent="0.4">
      <c r="B5" s="5" t="s">
        <v>38</v>
      </c>
      <c r="C5" s="5" t="s">
        <v>43</v>
      </c>
    </row>
    <row r="6" spans="2:3" ht="21" x14ac:dyDescent="0.4">
      <c r="B6" s="5" t="s">
        <v>39</v>
      </c>
      <c r="C6" s="5" t="s">
        <v>44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Firm_Wise</vt:lpstr>
      <vt:lpstr>Month_Wise</vt:lpstr>
      <vt:lpstr>Tax_Wise</vt:lpstr>
      <vt:lpstr>Product_Wise</vt:lpstr>
      <vt:lpstr>State_wise</vt:lpstr>
      <vt:lpstr>DASHBOARD</vt: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kishan kumar</cp:lastModifiedBy>
  <dcterms:created xsi:type="dcterms:W3CDTF">2020-04-22T22:10:47Z</dcterms:created>
  <dcterms:modified xsi:type="dcterms:W3CDTF">2026-01-31T10:27:24Z</dcterms:modified>
</cp:coreProperties>
</file>